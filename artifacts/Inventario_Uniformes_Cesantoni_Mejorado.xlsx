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Catálogo" sheetId="4" state="visible" r:id="rId4"/>
  </sheets>
  <definedNames>
    <definedName name="_xlnm._FilterDatabase" localSheetId="0" hidden="1">'Inventario'!$A$4:$L$97</definedName>
    <definedName name="_xlnm._FilterDatabase" localSheetId="3" hidden="1">'Catálogo'!$A$3:$D$96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</font>
    <font>
      <i val="1"/>
      <color rgb="00666666"/>
      <sz val="9"/>
    </font>
    <font>
      <b val="1"/>
      <sz val="11"/>
    </font>
    <font>
      <b val="1"/>
      <color rgb="002E75B6"/>
      <sz val="12"/>
    </font>
    <font>
      <sz val="1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165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6" fillId="5" borderId="0" pivotButton="0" quotePrefix="0" xfId="0"/>
    <xf numFmtId="0" fontId="8" fillId="4" borderId="0" pivotButton="0" quotePrefix="0" xfId="0"/>
    <xf numFmtId="0" fontId="6" fillId="4" borderId="0" pivotButton="0" quotePrefix="0" xfId="0"/>
    <xf numFmtId="164" fontId="6" fillId="0" borderId="0" pivotButton="0" quotePrefix="0" xfId="0"/>
    <xf numFmtId="0" fontId="3" fillId="2" borderId="1" pivotButton="0" quotePrefix="0" xfId="0"/>
    <xf numFmtId="0" fontId="9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ont>
        <b val="1"/>
        <color rgb="00F57F17"/>
      </font>
      <fill>
        <patternFill patternType="solid">
          <fgColor rgb="00FFF9C4"/>
          <bgColor rgb="00FFF9C4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30" customHeight="1">
      <c r="A1" s="1" t="inlineStr">
        <is>
          <t>INVENTARIO DE UNIFORMES - CESANTONI</t>
        </is>
      </c>
    </row>
    <row r="2">
      <c r="A2" s="2" t="inlineStr">
        <is>
          <t>Control de existencias, salidas y reposición | Generado para mejor control de inventario</t>
        </is>
      </c>
    </row>
    <row r="4" ht="35" customHeight="1">
      <c r="A4" s="3" t="inlineStr">
        <is>
          <t>Código</t>
        </is>
      </c>
      <c r="B4" s="3" t="inlineStr">
        <is>
          <t>Descripción</t>
        </is>
      </c>
      <c r="C4" s="3" t="inlineStr">
        <is>
          <t>Categoría</t>
        </is>
      </c>
      <c r="D4" s="3" t="inlineStr">
        <is>
          <t>Talla/Tamaño</t>
        </is>
      </c>
      <c r="E4" s="3" t="inlineStr">
        <is>
          <t>Existencia Inicial</t>
        </is>
      </c>
      <c r="F4" s="3" t="inlineStr">
        <is>
          <t>Costo Unitario</t>
        </is>
      </c>
      <c r="G4" s="3" t="inlineStr">
        <is>
          <t>Consumo (Histórico)</t>
        </is>
      </c>
      <c r="H4" s="3" t="inlineStr">
        <is>
          <t>Existencia Actual</t>
        </is>
      </c>
      <c r="I4" s="3" t="inlineStr">
        <is>
          <t>Stock Mínimo</t>
        </is>
      </c>
      <c r="J4" s="3" t="inlineStr">
        <is>
          <t>Estado</t>
        </is>
      </c>
      <c r="K4" s="3" t="inlineStr">
        <is>
          <t>Valor Total</t>
        </is>
      </c>
      <c r="L4" s="3" t="inlineStr">
        <is>
          <t>QR / ID</t>
        </is>
      </c>
    </row>
    <row r="5">
      <c r="A5" s="4" t="inlineStr">
        <is>
          <t>UNI-001</t>
        </is>
      </c>
      <c r="B5" s="4" t="inlineStr">
        <is>
          <t>BLUSA P/DAMA M. LARGA OXFORD CELESTE #32</t>
        </is>
      </c>
      <c r="C5" s="4" t="inlineStr">
        <is>
          <t>Blusa Dama</t>
        </is>
      </c>
      <c r="D5" s="4" t="inlineStr">
        <is>
          <t>32</t>
        </is>
      </c>
      <c r="E5" s="4" t="n">
        <v>4</v>
      </c>
      <c r="F5" s="5" t="n">
        <v>250</v>
      </c>
      <c r="G5" s="4" t="n">
        <v>2</v>
      </c>
      <c r="H5" s="4" t="n">
        <v>2</v>
      </c>
      <c r="I5" s="4" t="n">
        <v>3</v>
      </c>
      <c r="J5" s="6">
        <f>IF(H5=0,"AGOTADO",IF(H5&lt;=I5,"BAJO","OK"))</f>
        <v/>
      </c>
      <c r="K5" s="5">
        <f>H5*F5</f>
        <v/>
      </c>
      <c r="L5" s="6" t="inlineStr">
        <is>
          <t>UNI-001</t>
        </is>
      </c>
    </row>
    <row r="6">
      <c r="A6" s="4" t="inlineStr">
        <is>
          <t>UNI-002</t>
        </is>
      </c>
      <c r="B6" s="4" t="inlineStr">
        <is>
          <t>BLUSA P/DAMA M. LARGA OXFORD CELESTE #34</t>
        </is>
      </c>
      <c r="C6" s="4" t="inlineStr">
        <is>
          <t>Blusa Dama</t>
        </is>
      </c>
      <c r="D6" s="4" t="inlineStr">
        <is>
          <t>34</t>
        </is>
      </c>
      <c r="E6" s="4" t="n">
        <v>4</v>
      </c>
      <c r="F6" s="5" t="n">
        <v>250</v>
      </c>
      <c r="G6" s="4" t="n">
        <v>0</v>
      </c>
      <c r="H6" s="4" t="n">
        <v>4</v>
      </c>
      <c r="I6" s="4" t="n">
        <v>3</v>
      </c>
      <c r="J6" s="6">
        <f>IF(H6=0,"AGOTADO",IF(H6&lt;=I6,"BAJO","OK"))</f>
        <v/>
      </c>
      <c r="K6" s="5">
        <f>H6*F6</f>
        <v/>
      </c>
      <c r="L6" s="6" t="inlineStr">
        <is>
          <t>UNI-002</t>
        </is>
      </c>
    </row>
    <row r="7">
      <c r="A7" s="4" t="inlineStr">
        <is>
          <t>UNI-003</t>
        </is>
      </c>
      <c r="B7" s="4" t="inlineStr">
        <is>
          <t>BLUSA P/DAMA M. LARGA OXFORD CELESTE #36</t>
        </is>
      </c>
      <c r="C7" s="4" t="inlineStr">
        <is>
          <t>Blusa Dama</t>
        </is>
      </c>
      <c r="D7" s="4" t="inlineStr">
        <is>
          <t>36</t>
        </is>
      </c>
      <c r="E7" s="4" t="n">
        <v>4</v>
      </c>
      <c r="F7" s="5" t="n">
        <v>202.5</v>
      </c>
      <c r="G7" s="4" t="n">
        <v>0</v>
      </c>
      <c r="H7" s="4" t="n">
        <v>4</v>
      </c>
      <c r="I7" s="4" t="n">
        <v>3</v>
      </c>
      <c r="J7" s="6">
        <f>IF(H7=0,"AGOTADO",IF(H7&lt;=I7,"BAJO","OK"))</f>
        <v/>
      </c>
      <c r="K7" s="5">
        <f>H7*F7</f>
        <v/>
      </c>
      <c r="L7" s="6" t="inlineStr">
        <is>
          <t>UNI-003</t>
        </is>
      </c>
    </row>
    <row r="8">
      <c r="A8" s="4" t="inlineStr">
        <is>
          <t>UNI-004</t>
        </is>
      </c>
      <c r="B8" s="4" t="inlineStr">
        <is>
          <t>BLUSA P/DAMA M. LARGA OXFORD CELESTE #38</t>
        </is>
      </c>
      <c r="C8" s="4" t="inlineStr">
        <is>
          <t>Blusa Dama</t>
        </is>
      </c>
      <c r="D8" s="4" t="inlineStr">
        <is>
          <t>38</t>
        </is>
      </c>
      <c r="E8" s="4" t="n">
        <v>3</v>
      </c>
      <c r="F8" s="5" t="n">
        <v>202.5</v>
      </c>
      <c r="G8" s="4" t="n">
        <v>0</v>
      </c>
      <c r="H8" s="4" t="n">
        <v>3</v>
      </c>
      <c r="I8" s="4" t="n">
        <v>3</v>
      </c>
      <c r="J8" s="6">
        <f>IF(H8=0,"AGOTADO",IF(H8&lt;=I8,"BAJO","OK"))</f>
        <v/>
      </c>
      <c r="K8" s="5">
        <f>H8*F8</f>
        <v/>
      </c>
      <c r="L8" s="6" t="inlineStr">
        <is>
          <t>UNI-004</t>
        </is>
      </c>
    </row>
    <row r="9">
      <c r="A9" s="4" t="inlineStr">
        <is>
          <t>UNI-005</t>
        </is>
      </c>
      <c r="B9" s="4" t="inlineStr">
        <is>
          <t>BLUSA DAMA M. LARGA OXFORD CELESTE #40</t>
        </is>
      </c>
      <c r="C9" s="4" t="inlineStr">
        <is>
          <t>Blusa Dama</t>
        </is>
      </c>
      <c r="D9" s="4" t="inlineStr">
        <is>
          <t>40</t>
        </is>
      </c>
      <c r="E9" s="4" t="n">
        <v>1</v>
      </c>
      <c r="F9" s="5" t="n">
        <v>202.5</v>
      </c>
      <c r="G9" s="4" t="n">
        <v>0</v>
      </c>
      <c r="H9" s="4" t="n">
        <v>1</v>
      </c>
      <c r="I9" s="4" t="n">
        <v>3</v>
      </c>
      <c r="J9" s="6">
        <f>IF(H9=0,"AGOTADO",IF(H9&lt;=I9,"BAJO","OK"))</f>
        <v/>
      </c>
      <c r="K9" s="5">
        <f>H9*F9</f>
        <v/>
      </c>
      <c r="L9" s="6" t="inlineStr">
        <is>
          <t>UNI-005</t>
        </is>
      </c>
    </row>
    <row r="10">
      <c r="A10" s="4" t="inlineStr">
        <is>
          <t>UNI-006</t>
        </is>
      </c>
      <c r="B10" s="4" t="inlineStr">
        <is>
          <t>BLUSA P/DAMA M. LARGA OXFORD CELESTE #42</t>
        </is>
      </c>
      <c r="C10" s="4" t="inlineStr">
        <is>
          <t>Blusa Dama</t>
        </is>
      </c>
      <c r="D10" s="4" t="inlineStr">
        <is>
          <t>42</t>
        </is>
      </c>
      <c r="E10" s="4" t="n">
        <v>1</v>
      </c>
      <c r="F10" s="5" t="n">
        <v>202.5</v>
      </c>
      <c r="G10" s="4" t="n">
        <v>0</v>
      </c>
      <c r="H10" s="4" t="n">
        <v>1</v>
      </c>
      <c r="I10" s="4" t="n">
        <v>3</v>
      </c>
      <c r="J10" s="6">
        <f>IF(H10=0,"AGOTADO",IF(H10&lt;=I10,"BAJO","OK"))</f>
        <v/>
      </c>
      <c r="K10" s="5">
        <f>H10*F10</f>
        <v/>
      </c>
      <c r="L10" s="6" t="inlineStr">
        <is>
          <t>UNI-006</t>
        </is>
      </c>
    </row>
    <row r="11">
      <c r="A11" s="4" t="inlineStr">
        <is>
          <t>UNI-007</t>
        </is>
      </c>
      <c r="B11" s="4" t="inlineStr">
        <is>
          <t>BLUSA DAMA M. LARGA OXFORD CELESTE #44</t>
        </is>
      </c>
      <c r="C11" s="4" t="inlineStr">
        <is>
          <t>Blusa Dama</t>
        </is>
      </c>
      <c r="D11" s="4" t="inlineStr">
        <is>
          <t>44</t>
        </is>
      </c>
      <c r="E11" s="4" t="n">
        <v>2</v>
      </c>
      <c r="F11" s="5" t="n">
        <v>202.5</v>
      </c>
      <c r="G11" s="4" t="n">
        <v>0</v>
      </c>
      <c r="H11" s="4" t="n">
        <v>2</v>
      </c>
      <c r="I11" s="4" t="n">
        <v>3</v>
      </c>
      <c r="J11" s="6">
        <f>IF(H11=0,"AGOTADO",IF(H11&lt;=I11,"BAJO","OK"))</f>
        <v/>
      </c>
      <c r="K11" s="5">
        <f>H11*F11</f>
        <v/>
      </c>
      <c r="L11" s="6" t="inlineStr">
        <is>
          <t>UNI-007</t>
        </is>
      </c>
    </row>
    <row r="12">
      <c r="A12" s="4" t="inlineStr">
        <is>
          <t>UNI-008</t>
        </is>
      </c>
      <c r="B12" s="4" t="inlineStr">
        <is>
          <t>BLUSA P/DAMA M. LARGA OXFORD CELESTE #46</t>
        </is>
      </c>
      <c r="C12" s="4" t="inlineStr">
        <is>
          <t>Blusa Dama</t>
        </is>
      </c>
      <c r="D12" s="4" t="inlineStr">
        <is>
          <t>46</t>
        </is>
      </c>
      <c r="E12" s="4" t="n">
        <v>1</v>
      </c>
      <c r="F12" s="5" t="n">
        <v>202.5</v>
      </c>
      <c r="G12" s="4" t="n">
        <v>0</v>
      </c>
      <c r="H12" s="4" t="n">
        <v>1</v>
      </c>
      <c r="I12" s="4" t="n">
        <v>3</v>
      </c>
      <c r="J12" s="6">
        <f>IF(H12=0,"AGOTADO",IF(H12&lt;=I12,"BAJO","OK"))</f>
        <v/>
      </c>
      <c r="K12" s="5">
        <f>H12*F12</f>
        <v/>
      </c>
      <c r="L12" s="6" t="inlineStr">
        <is>
          <t>UNI-008</t>
        </is>
      </c>
    </row>
    <row r="13">
      <c r="A13" s="4" t="inlineStr">
        <is>
          <t>UNI-009</t>
        </is>
      </c>
      <c r="B13" s="4" t="inlineStr">
        <is>
          <t>BLUSA DAMA M. LARGA OXFORD CELESTE #48</t>
        </is>
      </c>
      <c r="C13" s="4" t="inlineStr">
        <is>
          <t>Blusa Dama</t>
        </is>
      </c>
      <c r="D13" s="4" t="inlineStr">
        <is>
          <t>48</t>
        </is>
      </c>
      <c r="E13" s="4" t="n">
        <v>1</v>
      </c>
      <c r="F13" s="5" t="n">
        <v>202.5</v>
      </c>
      <c r="G13" s="4" t="n">
        <v>0</v>
      </c>
      <c r="H13" s="4" t="n">
        <v>1</v>
      </c>
      <c r="I13" s="4" t="n">
        <v>3</v>
      </c>
      <c r="J13" s="6">
        <f>IF(H13=0,"AGOTADO",IF(H13&lt;=I13,"BAJO","OK"))</f>
        <v/>
      </c>
      <c r="K13" s="5">
        <f>H13*F13</f>
        <v/>
      </c>
      <c r="L13" s="6" t="inlineStr">
        <is>
          <t>UNI-009</t>
        </is>
      </c>
    </row>
    <row r="14">
      <c r="A14" s="4" t="inlineStr">
        <is>
          <t>UNI-010</t>
        </is>
      </c>
      <c r="B14" s="4" t="inlineStr">
        <is>
          <t>CAMISA CABALLERO M. LARGA OXFORD CELESTE #32</t>
        </is>
      </c>
      <c r="C14" s="4" t="inlineStr">
        <is>
          <t>Camisa Caballero Oxford</t>
        </is>
      </c>
      <c r="D14" s="4" t="inlineStr">
        <is>
          <t>32</t>
        </is>
      </c>
      <c r="E14" s="4" t="n">
        <v>11</v>
      </c>
      <c r="F14" s="5" t="n">
        <v>202.5</v>
      </c>
      <c r="G14" s="4" t="n">
        <v>1</v>
      </c>
      <c r="H14" s="4" t="n">
        <v>11</v>
      </c>
      <c r="I14" s="4" t="n">
        <v>3</v>
      </c>
      <c r="J14" s="6">
        <f>IF(H14=0,"AGOTADO",IF(H14&lt;=I14,"BAJO","OK"))</f>
        <v/>
      </c>
      <c r="K14" s="5">
        <f>H14*F14</f>
        <v/>
      </c>
      <c r="L14" s="6" t="inlineStr">
        <is>
          <t>UNI-010</t>
        </is>
      </c>
    </row>
    <row r="15">
      <c r="A15" s="4" t="inlineStr">
        <is>
          <t>UNI-011</t>
        </is>
      </c>
      <c r="B15" s="4" t="inlineStr">
        <is>
          <t>CAMISA CABALLERO M. LARGA OXFORD CELESTE #34</t>
        </is>
      </c>
      <c r="C15" s="4" t="inlineStr">
        <is>
          <t>Camisa Caballero Oxford</t>
        </is>
      </c>
      <c r="D15" s="4" t="inlineStr">
        <is>
          <t>34</t>
        </is>
      </c>
      <c r="E15" s="4" t="n">
        <v>7</v>
      </c>
      <c r="F15" s="5" t="n">
        <v>202.5</v>
      </c>
      <c r="G15" s="4" t="n">
        <v>0</v>
      </c>
      <c r="H15" s="4" t="n">
        <v>7</v>
      </c>
      <c r="I15" s="4" t="n">
        <v>3</v>
      </c>
      <c r="J15" s="6">
        <f>IF(H15=0,"AGOTADO",IF(H15&lt;=I15,"BAJO","OK"))</f>
        <v/>
      </c>
      <c r="K15" s="5">
        <f>H15*F15</f>
        <v/>
      </c>
      <c r="L15" s="6" t="inlineStr">
        <is>
          <t>UNI-011</t>
        </is>
      </c>
    </row>
    <row r="16">
      <c r="A16" s="4" t="inlineStr">
        <is>
          <t>UNI-012</t>
        </is>
      </c>
      <c r="B16" s="4" t="inlineStr">
        <is>
          <t>CAMISA CABALLERO M. LARGA OXFORD CELESTE #36</t>
        </is>
      </c>
      <c r="C16" s="4" t="inlineStr">
        <is>
          <t>Camisa Caballero Oxford</t>
        </is>
      </c>
      <c r="D16" s="4" t="inlineStr">
        <is>
          <t>36</t>
        </is>
      </c>
      <c r="E16" s="4" t="n">
        <v>0</v>
      </c>
      <c r="F16" s="5" t="n">
        <v>202.5</v>
      </c>
      <c r="G16" s="4" t="n">
        <v>0</v>
      </c>
      <c r="H16" s="4" t="n">
        <v>0</v>
      </c>
      <c r="I16" s="4" t="n">
        <v>3</v>
      </c>
      <c r="J16" s="6">
        <f>IF(H16=0,"AGOTADO",IF(H16&lt;=I16,"BAJO","OK"))</f>
        <v/>
      </c>
      <c r="K16" s="5">
        <f>H16*F16</f>
        <v/>
      </c>
      <c r="L16" s="6" t="inlineStr">
        <is>
          <t>UNI-012</t>
        </is>
      </c>
    </row>
    <row r="17">
      <c r="A17" s="4" t="inlineStr">
        <is>
          <t>UNI-013</t>
        </is>
      </c>
      <c r="B17" s="4" t="inlineStr">
        <is>
          <t>CAMISA CABALLERO M. LARGA OXFORD CELESTE #38</t>
        </is>
      </c>
      <c r="C17" s="4" t="inlineStr">
        <is>
          <t>Camisa Caballero Oxford</t>
        </is>
      </c>
      <c r="D17" s="4" t="inlineStr">
        <is>
          <t>38</t>
        </is>
      </c>
      <c r="E17" s="4" t="n">
        <v>3</v>
      </c>
      <c r="F17" s="5" t="n">
        <v>202.5</v>
      </c>
      <c r="G17" s="4" t="n">
        <v>0</v>
      </c>
      <c r="H17" s="4" t="n">
        <v>3</v>
      </c>
      <c r="I17" s="4" t="n">
        <v>3</v>
      </c>
      <c r="J17" s="6">
        <f>IF(H17=0,"AGOTADO",IF(H17&lt;=I17,"BAJO","OK"))</f>
        <v/>
      </c>
      <c r="K17" s="5">
        <f>H17*F17</f>
        <v/>
      </c>
      <c r="L17" s="6" t="inlineStr">
        <is>
          <t>UNI-013</t>
        </is>
      </c>
    </row>
    <row r="18">
      <c r="A18" s="4" t="inlineStr">
        <is>
          <t>UNI-014</t>
        </is>
      </c>
      <c r="B18" s="4" t="inlineStr">
        <is>
          <t>CAMISA CABALLERO M. LARGA OXFORD CELESTE #40</t>
        </is>
      </c>
      <c r="C18" s="4" t="inlineStr">
        <is>
          <t>Camisa Caballero Oxford</t>
        </is>
      </c>
      <c r="D18" s="4" t="inlineStr">
        <is>
          <t>40</t>
        </is>
      </c>
      <c r="E18" s="4" t="n">
        <v>3</v>
      </c>
      <c r="F18" s="5" t="n">
        <v>202.5</v>
      </c>
      <c r="G18" s="4" t="n">
        <v>0</v>
      </c>
      <c r="H18" s="4" t="n">
        <v>3</v>
      </c>
      <c r="I18" s="4" t="n">
        <v>3</v>
      </c>
      <c r="J18" s="6">
        <f>IF(H18=0,"AGOTADO",IF(H18&lt;=I18,"BAJO","OK"))</f>
        <v/>
      </c>
      <c r="K18" s="5">
        <f>H18*F18</f>
        <v/>
      </c>
      <c r="L18" s="6" t="inlineStr">
        <is>
          <t>UNI-014</t>
        </is>
      </c>
    </row>
    <row r="19">
      <c r="A19" s="4" t="inlineStr">
        <is>
          <t>UNI-015</t>
        </is>
      </c>
      <c r="B19" s="4" t="inlineStr">
        <is>
          <t>CAMISA CABALLERO M. LARGA OXFORD CELESTE #42</t>
        </is>
      </c>
      <c r="C19" s="4" t="inlineStr">
        <is>
          <t>Camisa Caballero Oxford</t>
        </is>
      </c>
      <c r="D19" s="4" t="inlineStr">
        <is>
          <t>42</t>
        </is>
      </c>
      <c r="E19" s="4" t="n">
        <v>2</v>
      </c>
      <c r="F19" s="5" t="n">
        <v>202.5</v>
      </c>
      <c r="G19" s="4" t="n">
        <v>0</v>
      </c>
      <c r="H19" s="4" t="n">
        <v>2</v>
      </c>
      <c r="I19" s="4" t="n">
        <v>3</v>
      </c>
      <c r="J19" s="6">
        <f>IF(H19=0,"AGOTADO",IF(H19&lt;=I19,"BAJO","OK"))</f>
        <v/>
      </c>
      <c r="K19" s="5">
        <f>H19*F19</f>
        <v/>
      </c>
      <c r="L19" s="6" t="inlineStr">
        <is>
          <t>UNI-015</t>
        </is>
      </c>
    </row>
    <row r="20">
      <c r="A20" s="4" t="inlineStr">
        <is>
          <t>UNI-016</t>
        </is>
      </c>
      <c r="B20" s="4" t="inlineStr">
        <is>
          <t>CAMISA CABALLERO M. LARGA OXFORD CELESTE #44</t>
        </is>
      </c>
      <c r="C20" s="4" t="inlineStr">
        <is>
          <t>Camisa Caballero Oxford</t>
        </is>
      </c>
      <c r="D20" s="4" t="inlineStr">
        <is>
          <t>44</t>
        </is>
      </c>
      <c r="E20" s="4" t="n">
        <v>3</v>
      </c>
      <c r="F20" s="5" t="n">
        <v>202.5</v>
      </c>
      <c r="G20" s="4" t="n">
        <v>0</v>
      </c>
      <c r="H20" s="4" t="n">
        <v>3</v>
      </c>
      <c r="I20" s="4" t="n">
        <v>3</v>
      </c>
      <c r="J20" s="6">
        <f>IF(H20=0,"AGOTADO",IF(H20&lt;=I20,"BAJO","OK"))</f>
        <v/>
      </c>
      <c r="K20" s="5">
        <f>H20*F20</f>
        <v/>
      </c>
      <c r="L20" s="6" t="inlineStr">
        <is>
          <t>UNI-016</t>
        </is>
      </c>
    </row>
    <row r="21">
      <c r="A21" s="4" t="inlineStr">
        <is>
          <t>UNI-017</t>
        </is>
      </c>
      <c r="B21" s="4" t="inlineStr">
        <is>
          <t>CAMISA CABALLERO M. LARGA OXFORD CELESTE #46</t>
        </is>
      </c>
      <c r="C21" s="4" t="inlineStr">
        <is>
          <t>Camisa Caballero Oxford</t>
        </is>
      </c>
      <c r="D21" s="4" t="inlineStr">
        <is>
          <t>46</t>
        </is>
      </c>
      <c r="E21" s="4" t="n">
        <v>3</v>
      </c>
      <c r="F21" s="5" t="n">
        <v>202.5</v>
      </c>
      <c r="G21" s="4" t="n">
        <v>0</v>
      </c>
      <c r="H21" s="4" t="n">
        <v>3</v>
      </c>
      <c r="I21" s="4" t="n">
        <v>3</v>
      </c>
      <c r="J21" s="6">
        <f>IF(H21=0,"AGOTADO",IF(H21&lt;=I21,"BAJO","OK"))</f>
        <v/>
      </c>
      <c r="K21" s="5">
        <f>H21*F21</f>
        <v/>
      </c>
      <c r="L21" s="6" t="inlineStr">
        <is>
          <t>UNI-017</t>
        </is>
      </c>
    </row>
    <row r="22">
      <c r="A22" s="4" t="inlineStr">
        <is>
          <t>UNI-018</t>
        </is>
      </c>
      <c r="B22" s="4" t="inlineStr">
        <is>
          <t>CAMISA CABALLERO M. LARGA OXFORD CELESTE #48</t>
        </is>
      </c>
      <c r="C22" s="4" t="inlineStr">
        <is>
          <t>Camisa Caballero Oxford</t>
        </is>
      </c>
      <c r="D22" s="4" t="inlineStr">
        <is>
          <t>48</t>
        </is>
      </c>
      <c r="E22" s="4" t="n">
        <v>3</v>
      </c>
      <c r="F22" s="5" t="n">
        <v>202.5</v>
      </c>
      <c r="G22" s="4" t="n">
        <v>0</v>
      </c>
      <c r="H22" s="4" t="n">
        <v>3</v>
      </c>
      <c r="I22" s="4" t="n">
        <v>3</v>
      </c>
      <c r="J22" s="6">
        <f>IF(H22=0,"AGOTADO",IF(H22&lt;=I22,"BAJO","OK"))</f>
        <v/>
      </c>
      <c r="K22" s="5">
        <f>H22*F22</f>
        <v/>
      </c>
      <c r="L22" s="6" t="inlineStr">
        <is>
          <t>UNI-018</t>
        </is>
      </c>
    </row>
    <row r="23">
      <c r="A23" s="4" t="inlineStr">
        <is>
          <t>UNI-019</t>
        </is>
      </c>
      <c r="B23" s="4" t="inlineStr">
        <is>
          <t>CAMISA CABALLERO M. LARGA OXFORD CELESTE #50</t>
        </is>
      </c>
      <c r="C23" s="4" t="inlineStr">
        <is>
          <t>Camisa Caballero Oxford</t>
        </is>
      </c>
      <c r="D23" s="4" t="inlineStr">
        <is>
          <t>50</t>
        </is>
      </c>
      <c r="E23" s="4" t="n">
        <v>3</v>
      </c>
      <c r="F23" s="5" t="n">
        <v>202.5</v>
      </c>
      <c r="G23" s="4" t="n">
        <v>0</v>
      </c>
      <c r="H23" s="4" t="n">
        <v>3</v>
      </c>
      <c r="I23" s="4" t="n">
        <v>3</v>
      </c>
      <c r="J23" s="6">
        <f>IF(H23=0,"AGOTADO",IF(H23&lt;=I23,"BAJO","OK"))</f>
        <v/>
      </c>
      <c r="K23" s="5">
        <f>H23*F23</f>
        <v/>
      </c>
      <c r="L23" s="6" t="inlineStr">
        <is>
          <t>UNI-019</t>
        </is>
      </c>
    </row>
    <row r="24">
      <c r="A24" s="4" t="inlineStr">
        <is>
          <t>UNI-020</t>
        </is>
      </c>
      <c r="B24" s="4" t="inlineStr">
        <is>
          <t>CAMISA CABALLERO M. LARGA OXFORD CELESTE #52</t>
        </is>
      </c>
      <c r="C24" s="4" t="inlineStr">
        <is>
          <t>Camisa Caballero Oxford</t>
        </is>
      </c>
      <c r="D24" s="4" t="inlineStr">
        <is>
          <t>52</t>
        </is>
      </c>
      <c r="E24" s="4" t="n">
        <v>3</v>
      </c>
      <c r="F24" s="5" t="n">
        <v>202.5</v>
      </c>
      <c r="G24" s="4" t="n">
        <v>0</v>
      </c>
      <c r="H24" s="4" t="n">
        <v>3</v>
      </c>
      <c r="I24" s="4" t="n">
        <v>3</v>
      </c>
      <c r="J24" s="6">
        <f>IF(H24=0,"AGOTADO",IF(H24&lt;=I24,"BAJO","OK"))</f>
        <v/>
      </c>
      <c r="K24" s="5">
        <f>H24*F24</f>
        <v/>
      </c>
      <c r="L24" s="6" t="inlineStr">
        <is>
          <t>UNI-020</t>
        </is>
      </c>
    </row>
    <row r="25">
      <c r="A25" s="4" t="inlineStr">
        <is>
          <t>UNI-021</t>
        </is>
      </c>
      <c r="B25" s="4" t="inlineStr">
        <is>
          <t>CAMISA P/CABALLERO DE MEZCLILLA # 30</t>
        </is>
      </c>
      <c r="C25" s="4" t="inlineStr">
        <is>
          <t>Camisa Caballero Mezclilla</t>
        </is>
      </c>
      <c r="D25" s="4" t="inlineStr">
        <is>
          <t>30</t>
        </is>
      </c>
      <c r="E25" s="4" t="n">
        <v>2</v>
      </c>
      <c r="F25" s="5" t="n">
        <v>201.5</v>
      </c>
      <c r="G25" s="4" t="n">
        <v>0</v>
      </c>
      <c r="H25" s="4" t="n">
        <v>2</v>
      </c>
      <c r="I25" s="4" t="n">
        <v>3</v>
      </c>
      <c r="J25" s="6">
        <f>IF(H25=0,"AGOTADO",IF(H25&lt;=I25,"BAJO","OK"))</f>
        <v/>
      </c>
      <c r="K25" s="5">
        <f>H25*F25</f>
        <v/>
      </c>
      <c r="L25" s="6" t="inlineStr">
        <is>
          <t>UNI-021</t>
        </is>
      </c>
    </row>
    <row r="26">
      <c r="A26" s="4" t="inlineStr">
        <is>
          <t>UNI-022</t>
        </is>
      </c>
      <c r="B26" s="4" t="inlineStr">
        <is>
          <t>CAMISA P/CABALLERO DE MEZCLILLA # 32</t>
        </is>
      </c>
      <c r="C26" s="4" t="inlineStr">
        <is>
          <t>Camisa Caballero Mezclilla</t>
        </is>
      </c>
      <c r="D26" s="4" t="inlineStr">
        <is>
          <t>32</t>
        </is>
      </c>
      <c r="E26" s="4" t="n">
        <v>19</v>
      </c>
      <c r="F26" s="5" t="n">
        <v>201.5</v>
      </c>
      <c r="G26" s="4" t="n">
        <v>1</v>
      </c>
      <c r="H26" s="4" t="n">
        <v>19</v>
      </c>
      <c r="I26" s="4" t="n">
        <v>3</v>
      </c>
      <c r="J26" s="6">
        <f>IF(H26=0,"AGOTADO",IF(H26&lt;=I26,"BAJO","OK"))</f>
        <v/>
      </c>
      <c r="K26" s="5">
        <f>H26*F26</f>
        <v/>
      </c>
      <c r="L26" s="6" t="inlineStr">
        <is>
          <t>UNI-022</t>
        </is>
      </c>
    </row>
    <row r="27">
      <c r="A27" s="4" t="inlineStr">
        <is>
          <t>UNI-023</t>
        </is>
      </c>
      <c r="B27" s="4" t="inlineStr">
        <is>
          <t>CAMISA P/CABALLERO DE MEZCLILLA # 34</t>
        </is>
      </c>
      <c r="C27" s="4" t="inlineStr">
        <is>
          <t>Camisa Caballero Mezclilla</t>
        </is>
      </c>
      <c r="D27" s="4" t="inlineStr">
        <is>
          <t>34</t>
        </is>
      </c>
      <c r="E27" s="4" t="n">
        <v>15</v>
      </c>
      <c r="F27" s="5" t="n">
        <v>201.5</v>
      </c>
      <c r="G27" s="4" t="n">
        <v>0</v>
      </c>
      <c r="H27" s="4" t="n">
        <v>15</v>
      </c>
      <c r="I27" s="4" t="n">
        <v>3</v>
      </c>
      <c r="J27" s="6">
        <f>IF(H27=0,"AGOTADO",IF(H27&lt;=I27,"BAJO","OK"))</f>
        <v/>
      </c>
      <c r="K27" s="5">
        <f>H27*F27</f>
        <v/>
      </c>
      <c r="L27" s="6" t="inlineStr">
        <is>
          <t>UNI-023</t>
        </is>
      </c>
    </row>
    <row r="28">
      <c r="A28" s="4" t="inlineStr">
        <is>
          <t>UNI-024</t>
        </is>
      </c>
      <c r="B28" s="4" t="inlineStr">
        <is>
          <t>CAMISA P/CABALLERO DE MEZCLILLA # 36</t>
        </is>
      </c>
      <c r="C28" s="4" t="inlineStr">
        <is>
          <t>Camisa Caballero Mezclilla</t>
        </is>
      </c>
      <c r="D28" s="4" t="inlineStr">
        <is>
          <t>36</t>
        </is>
      </c>
      <c r="E28" s="4" t="n">
        <v>14</v>
      </c>
      <c r="F28" s="5" t="n">
        <v>201.5</v>
      </c>
      <c r="G28" s="4" t="n">
        <v>4</v>
      </c>
      <c r="H28" s="4" t="n">
        <v>14</v>
      </c>
      <c r="I28" s="4" t="n">
        <v>3</v>
      </c>
      <c r="J28" s="6">
        <f>IF(H28=0,"AGOTADO",IF(H28&lt;=I28,"BAJO","OK"))</f>
        <v/>
      </c>
      <c r="K28" s="5">
        <f>H28*F28</f>
        <v/>
      </c>
      <c r="L28" s="6" t="inlineStr">
        <is>
          <t>UNI-024</t>
        </is>
      </c>
    </row>
    <row r="29">
      <c r="A29" s="4" t="inlineStr">
        <is>
          <t>UNI-025</t>
        </is>
      </c>
      <c r="B29" s="4" t="inlineStr">
        <is>
          <t>CAMISA P/CABALLERO DE MEZCLILLA # 38</t>
        </is>
      </c>
      <c r="C29" s="4" t="inlineStr">
        <is>
          <t>Camisa Caballero Mezclilla</t>
        </is>
      </c>
      <c r="D29" s="4" t="inlineStr">
        <is>
          <t>38</t>
        </is>
      </c>
      <c r="E29" s="4" t="n">
        <v>12</v>
      </c>
      <c r="F29" s="5" t="n">
        <v>201.5</v>
      </c>
      <c r="G29" s="4" t="n">
        <v>0</v>
      </c>
      <c r="H29" s="4" t="n">
        <v>12</v>
      </c>
      <c r="I29" s="4" t="n">
        <v>3</v>
      </c>
      <c r="J29" s="6">
        <f>IF(H29=0,"AGOTADO",IF(H29&lt;=I29,"BAJO","OK"))</f>
        <v/>
      </c>
      <c r="K29" s="5">
        <f>H29*F29</f>
        <v/>
      </c>
      <c r="L29" s="6" t="inlineStr">
        <is>
          <t>UNI-025</t>
        </is>
      </c>
    </row>
    <row r="30">
      <c r="A30" s="4" t="inlineStr">
        <is>
          <t>UNI-026</t>
        </is>
      </c>
      <c r="B30" s="4" t="inlineStr">
        <is>
          <t>CAMISA P/CABALLERO DE MEZCLILLA # 40</t>
        </is>
      </c>
      <c r="C30" s="4" t="inlineStr">
        <is>
          <t>Camisa Caballero Mezclilla</t>
        </is>
      </c>
      <c r="D30" s="4" t="inlineStr">
        <is>
          <t>40</t>
        </is>
      </c>
      <c r="E30" s="4" t="n">
        <v>3</v>
      </c>
      <c r="F30" s="5" t="n">
        <v>201.5</v>
      </c>
      <c r="G30" s="4" t="n">
        <v>0</v>
      </c>
      <c r="H30" s="4" t="n">
        <v>3</v>
      </c>
      <c r="I30" s="4" t="n">
        <v>3</v>
      </c>
      <c r="J30" s="6">
        <f>IF(H30=0,"AGOTADO",IF(H30&lt;=I30,"BAJO","OK"))</f>
        <v/>
      </c>
      <c r="K30" s="5">
        <f>H30*F30</f>
        <v/>
      </c>
      <c r="L30" s="6" t="inlineStr">
        <is>
          <t>UNI-026</t>
        </is>
      </c>
    </row>
    <row r="31">
      <c r="A31" s="4" t="inlineStr">
        <is>
          <t>UNI-027</t>
        </is>
      </c>
      <c r="B31" s="4" t="inlineStr">
        <is>
          <t>CAMISA P/CABALLERO DE MEZCLILLA # 42</t>
        </is>
      </c>
      <c r="C31" s="4" t="inlineStr">
        <is>
          <t>Camisa Caballero Mezclilla</t>
        </is>
      </c>
      <c r="D31" s="4" t="inlineStr">
        <is>
          <t>42</t>
        </is>
      </c>
      <c r="E31" s="4" t="n">
        <v>0</v>
      </c>
      <c r="F31" s="5" t="n">
        <v>201.5</v>
      </c>
      <c r="G31" s="4" t="n">
        <v>0</v>
      </c>
      <c r="H31" s="4" t="n">
        <v>0</v>
      </c>
      <c r="I31" s="4" t="n">
        <v>3</v>
      </c>
      <c r="J31" s="6">
        <f>IF(H31=0,"AGOTADO",IF(H31&lt;=I31,"BAJO","OK"))</f>
        <v/>
      </c>
      <c r="K31" s="5">
        <f>H31*F31</f>
        <v/>
      </c>
      <c r="L31" s="6" t="inlineStr">
        <is>
          <t>UNI-027</t>
        </is>
      </c>
    </row>
    <row r="32">
      <c r="A32" s="4" t="inlineStr">
        <is>
          <t>UNI-028</t>
        </is>
      </c>
      <c r="B32" s="4" t="inlineStr">
        <is>
          <t>CAMISA P/CABALLERO DE MEZCLILLA # 44</t>
        </is>
      </c>
      <c r="C32" s="4" t="inlineStr">
        <is>
          <t>Camisa Caballero Mezclilla</t>
        </is>
      </c>
      <c r="D32" s="4" t="inlineStr">
        <is>
          <t>44</t>
        </is>
      </c>
      <c r="E32" s="4" t="n">
        <v>5</v>
      </c>
      <c r="F32" s="5" t="n">
        <v>201.5</v>
      </c>
      <c r="G32" s="4" t="n">
        <v>0</v>
      </c>
      <c r="H32" s="4" t="n">
        <v>5</v>
      </c>
      <c r="I32" s="4" t="n">
        <v>3</v>
      </c>
      <c r="J32" s="6">
        <f>IF(H32=0,"AGOTADO",IF(H32&lt;=I32,"BAJO","OK"))</f>
        <v/>
      </c>
      <c r="K32" s="5">
        <f>H32*F32</f>
        <v/>
      </c>
      <c r="L32" s="6" t="inlineStr">
        <is>
          <t>UNI-028</t>
        </is>
      </c>
    </row>
    <row r="33">
      <c r="A33" s="4" t="inlineStr">
        <is>
          <t>UNI-029</t>
        </is>
      </c>
      <c r="B33" s="4" t="inlineStr">
        <is>
          <t>CAMISA P/CABALLERO DE MEZCLILLA # 46</t>
        </is>
      </c>
      <c r="C33" s="4" t="inlineStr">
        <is>
          <t>Camisa Caballero Mezclilla</t>
        </is>
      </c>
      <c r="D33" s="4" t="inlineStr">
        <is>
          <t>46</t>
        </is>
      </c>
      <c r="E33" s="4" t="n">
        <v>5</v>
      </c>
      <c r="F33" s="5" t="n">
        <v>201.5</v>
      </c>
      <c r="G33" s="4" t="n">
        <v>0</v>
      </c>
      <c r="H33" s="4" t="n">
        <v>5</v>
      </c>
      <c r="I33" s="4" t="n">
        <v>3</v>
      </c>
      <c r="J33" s="6">
        <f>IF(H33=0,"AGOTADO",IF(H33&lt;=I33,"BAJO","OK"))</f>
        <v/>
      </c>
      <c r="K33" s="5">
        <f>H33*F33</f>
        <v/>
      </c>
      <c r="L33" s="6" t="inlineStr">
        <is>
          <t>UNI-029</t>
        </is>
      </c>
    </row>
    <row r="34">
      <c r="A34" s="4" t="inlineStr">
        <is>
          <t>UNI-030</t>
        </is>
      </c>
      <c r="B34" s="4" t="inlineStr">
        <is>
          <t>CAMISA P/CABALLERO DE MEZCLILLA # 48</t>
        </is>
      </c>
      <c r="C34" s="4" t="inlineStr">
        <is>
          <t>Camisa Caballero Mezclilla</t>
        </is>
      </c>
      <c r="D34" s="4" t="inlineStr">
        <is>
          <t>48</t>
        </is>
      </c>
      <c r="E34" s="4" t="n">
        <v>6</v>
      </c>
      <c r="F34" s="5" t="n">
        <v>201.5</v>
      </c>
      <c r="G34" s="4" t="n">
        <v>0</v>
      </c>
      <c r="H34" s="4" t="n">
        <v>6</v>
      </c>
      <c r="I34" s="4" t="n">
        <v>3</v>
      </c>
      <c r="J34" s="6">
        <f>IF(H34=0,"AGOTADO",IF(H34&lt;=I34,"BAJO","OK"))</f>
        <v/>
      </c>
      <c r="K34" s="5">
        <f>H34*F34</f>
        <v/>
      </c>
      <c r="L34" s="6" t="inlineStr">
        <is>
          <t>UNI-030</t>
        </is>
      </c>
    </row>
    <row r="35">
      <c r="A35" s="4" t="inlineStr">
        <is>
          <t>UNI-031</t>
        </is>
      </c>
      <c r="B35" s="4" t="inlineStr">
        <is>
          <t>CAMISA P/CABALLERO DE MEZCLILLA # 50</t>
        </is>
      </c>
      <c r="C35" s="4" t="inlineStr">
        <is>
          <t>Camisa Caballero Mezclilla</t>
        </is>
      </c>
      <c r="D35" s="4" t="inlineStr">
        <is>
          <t>50</t>
        </is>
      </c>
      <c r="E35" s="4" t="n">
        <v>6</v>
      </c>
      <c r="F35" s="5" t="n">
        <v>201.5</v>
      </c>
      <c r="G35" s="4" t="n">
        <v>0</v>
      </c>
      <c r="H35" s="4" t="n">
        <v>6</v>
      </c>
      <c r="I35" s="4" t="n">
        <v>3</v>
      </c>
      <c r="J35" s="6">
        <f>IF(H35=0,"AGOTADO",IF(H35&lt;=I35,"BAJO","OK"))</f>
        <v/>
      </c>
      <c r="K35" s="5">
        <f>H35*F35</f>
        <v/>
      </c>
      <c r="L35" s="6" t="inlineStr">
        <is>
          <t>UNI-031</t>
        </is>
      </c>
    </row>
    <row r="36">
      <c r="A36" s="4" t="inlineStr">
        <is>
          <t>UNI-032</t>
        </is>
      </c>
      <c r="B36" s="4" t="inlineStr">
        <is>
          <t>CAMISA P/CABALLERO DE MEZCLILLA # 52</t>
        </is>
      </c>
      <c r="C36" s="4" t="inlineStr">
        <is>
          <t>Camisa Caballero Mezclilla</t>
        </is>
      </c>
      <c r="D36" s="4" t="inlineStr">
        <is>
          <t>52</t>
        </is>
      </c>
      <c r="E36" s="4" t="n">
        <v>7</v>
      </c>
      <c r="F36" s="5" t="n">
        <v>201.5</v>
      </c>
      <c r="G36" s="4" t="n">
        <v>0</v>
      </c>
      <c r="H36" s="4" t="n">
        <v>7</v>
      </c>
      <c r="I36" s="4" t="n">
        <v>3</v>
      </c>
      <c r="J36" s="6">
        <f>IF(H36=0,"AGOTADO",IF(H36&lt;=I36,"BAJO","OK"))</f>
        <v/>
      </c>
      <c r="K36" s="5">
        <f>H36*F36</f>
        <v/>
      </c>
      <c r="L36" s="6" t="inlineStr">
        <is>
          <t>UNI-032</t>
        </is>
      </c>
    </row>
    <row r="37">
      <c r="A37" s="4" t="inlineStr">
        <is>
          <t>UNI-033</t>
        </is>
      </c>
      <c r="B37" s="4" t="inlineStr">
        <is>
          <t>CAMISA P/DAMA DE MEZCLILLA #32</t>
        </is>
      </c>
      <c r="C37" s="4" t="inlineStr">
        <is>
          <t>Camisa Dama</t>
        </is>
      </c>
      <c r="D37" s="4" t="inlineStr">
        <is>
          <t>32</t>
        </is>
      </c>
      <c r="E37" s="4" t="n">
        <v>17</v>
      </c>
      <c r="F37" s="5" t="n">
        <v>201.5</v>
      </c>
      <c r="G37" s="4" t="n">
        <v>2</v>
      </c>
      <c r="H37" s="4" t="n">
        <v>17</v>
      </c>
      <c r="I37" s="4" t="n">
        <v>3</v>
      </c>
      <c r="J37" s="6">
        <f>IF(H37=0,"AGOTADO",IF(H37&lt;=I37,"BAJO","OK"))</f>
        <v/>
      </c>
      <c r="K37" s="5">
        <f>H37*F37</f>
        <v/>
      </c>
      <c r="L37" s="6" t="inlineStr">
        <is>
          <t>UNI-033</t>
        </is>
      </c>
    </row>
    <row r="38">
      <c r="A38" s="4" t="inlineStr">
        <is>
          <t>UNI-034</t>
        </is>
      </c>
      <c r="B38" s="4" t="inlineStr">
        <is>
          <t>CAMISA P/DAMA DE MEZCLILLA #34</t>
        </is>
      </c>
      <c r="C38" s="4" t="inlineStr">
        <is>
          <t>Camisa Dama</t>
        </is>
      </c>
      <c r="D38" s="4" t="inlineStr">
        <is>
          <t>34</t>
        </is>
      </c>
      <c r="E38" s="4" t="n">
        <v>10</v>
      </c>
      <c r="F38" s="5" t="n">
        <v>201.5</v>
      </c>
      <c r="G38" s="4" t="n">
        <v>0</v>
      </c>
      <c r="H38" s="4" t="n">
        <v>10</v>
      </c>
      <c r="I38" s="4" t="n">
        <v>3</v>
      </c>
      <c r="J38" s="6">
        <f>IF(H38=0,"AGOTADO",IF(H38&lt;=I38,"BAJO","OK"))</f>
        <v/>
      </c>
      <c r="K38" s="5">
        <f>H38*F38</f>
        <v/>
      </c>
      <c r="L38" s="6" t="inlineStr">
        <is>
          <t>UNI-034</t>
        </is>
      </c>
    </row>
    <row r="39">
      <c r="A39" s="4" t="inlineStr">
        <is>
          <t>UNI-035</t>
        </is>
      </c>
      <c r="B39" s="4" t="inlineStr">
        <is>
          <t>CAMISA P/DAMA DE MEZCLILLA #36</t>
        </is>
      </c>
      <c r="C39" s="4" t="inlineStr">
        <is>
          <t>Camisa Dama</t>
        </is>
      </c>
      <c r="D39" s="4" t="inlineStr">
        <is>
          <t>36</t>
        </is>
      </c>
      <c r="E39" s="4" t="n">
        <v>6</v>
      </c>
      <c r="F39" s="5" t="n">
        <v>201.5</v>
      </c>
      <c r="G39" s="4" t="n">
        <v>0</v>
      </c>
      <c r="H39" s="4" t="n">
        <v>6</v>
      </c>
      <c r="I39" s="4" t="n">
        <v>3</v>
      </c>
      <c r="J39" s="6">
        <f>IF(H39=0,"AGOTADO",IF(H39&lt;=I39,"BAJO","OK"))</f>
        <v/>
      </c>
      <c r="K39" s="5">
        <f>H39*F39</f>
        <v/>
      </c>
      <c r="L39" s="6" t="inlineStr">
        <is>
          <t>UNI-035</t>
        </is>
      </c>
    </row>
    <row r="40">
      <c r="A40" s="4" t="inlineStr">
        <is>
          <t>UNI-036</t>
        </is>
      </c>
      <c r="B40" s="4" t="inlineStr">
        <is>
          <t>CAMISA P/DAMA DE MEZCLILLA #38</t>
        </is>
      </c>
      <c r="C40" s="4" t="inlineStr">
        <is>
          <t>Camisa Dama</t>
        </is>
      </c>
      <c r="D40" s="4" t="inlineStr">
        <is>
          <t>38</t>
        </is>
      </c>
      <c r="E40" s="4" t="n">
        <v>8</v>
      </c>
      <c r="F40" s="5" t="n">
        <v>201.5</v>
      </c>
      <c r="G40" s="4" t="n">
        <v>0</v>
      </c>
      <c r="H40" s="4" t="n">
        <v>8</v>
      </c>
      <c r="I40" s="4" t="n">
        <v>3</v>
      </c>
      <c r="J40" s="6">
        <f>IF(H40=0,"AGOTADO",IF(H40&lt;=I40,"BAJO","OK"))</f>
        <v/>
      </c>
      <c r="K40" s="5">
        <f>H40*F40</f>
        <v/>
      </c>
      <c r="L40" s="6" t="inlineStr">
        <is>
          <t>UNI-036</t>
        </is>
      </c>
    </row>
    <row r="41">
      <c r="A41" s="4" t="inlineStr">
        <is>
          <t>UNI-037</t>
        </is>
      </c>
      <c r="B41" s="4" t="inlineStr">
        <is>
          <t>CAMISA P/DAMA DE MEZCLILLA #40</t>
        </is>
      </c>
      <c r="C41" s="4" t="inlineStr">
        <is>
          <t>Camisa Dama</t>
        </is>
      </c>
      <c r="D41" s="4" t="inlineStr">
        <is>
          <t>40</t>
        </is>
      </c>
      <c r="E41" s="4" t="n">
        <v>8</v>
      </c>
      <c r="F41" s="5" t="n">
        <v>201.5</v>
      </c>
      <c r="G41" s="4" t="n">
        <v>0</v>
      </c>
      <c r="H41" s="4" t="n">
        <v>8</v>
      </c>
      <c r="I41" s="4" t="n">
        <v>3</v>
      </c>
      <c r="J41" s="6">
        <f>IF(H41=0,"AGOTADO",IF(H41&lt;=I41,"BAJO","OK"))</f>
        <v/>
      </c>
      <c r="K41" s="5">
        <f>H41*F41</f>
        <v/>
      </c>
      <c r="L41" s="6" t="inlineStr">
        <is>
          <t>UNI-037</t>
        </is>
      </c>
    </row>
    <row r="42">
      <c r="A42" s="4" t="inlineStr">
        <is>
          <t>UNI-038</t>
        </is>
      </c>
      <c r="B42" s="4" t="inlineStr">
        <is>
          <t>CAMISA P/DAMA DE MEZCLILLA #42</t>
        </is>
      </c>
      <c r="C42" s="4" t="inlineStr">
        <is>
          <t>Camisa Dama</t>
        </is>
      </c>
      <c r="D42" s="4" t="inlineStr">
        <is>
          <t>42</t>
        </is>
      </c>
      <c r="E42" s="4" t="n">
        <v>8</v>
      </c>
      <c r="F42" s="5" t="n">
        <v>201.5</v>
      </c>
      <c r="G42" s="4" t="n">
        <v>0</v>
      </c>
      <c r="H42" s="4" t="n">
        <v>8</v>
      </c>
      <c r="I42" s="4" t="n">
        <v>3</v>
      </c>
      <c r="J42" s="6">
        <f>IF(H42=0,"AGOTADO",IF(H42&lt;=I42,"BAJO","OK"))</f>
        <v/>
      </c>
      <c r="K42" s="5">
        <f>H42*F42</f>
        <v/>
      </c>
      <c r="L42" s="6" t="inlineStr">
        <is>
          <t>UNI-038</t>
        </is>
      </c>
    </row>
    <row r="43">
      <c r="A43" s="4" t="inlineStr">
        <is>
          <t>UNI-039</t>
        </is>
      </c>
      <c r="B43" s="4" t="inlineStr">
        <is>
          <t>CAMISA P/DAMA DE MEZCLILLA #44</t>
        </is>
      </c>
      <c r="C43" s="4" t="inlineStr">
        <is>
          <t>Camisa Dama</t>
        </is>
      </c>
      <c r="D43" s="4" t="inlineStr">
        <is>
          <t>44</t>
        </is>
      </c>
      <c r="E43" s="4" t="n">
        <v>7</v>
      </c>
      <c r="F43" s="5" t="n">
        <v>201.5</v>
      </c>
      <c r="G43" s="4" t="n">
        <v>0</v>
      </c>
      <c r="H43" s="4" t="n">
        <v>7</v>
      </c>
      <c r="I43" s="4" t="n">
        <v>3</v>
      </c>
      <c r="J43" s="6">
        <f>IF(H43=0,"AGOTADO",IF(H43&lt;=I43,"BAJO","OK"))</f>
        <v/>
      </c>
      <c r="K43" s="5">
        <f>H43*F43</f>
        <v/>
      </c>
      <c r="L43" s="6" t="inlineStr">
        <is>
          <t>UNI-039</t>
        </is>
      </c>
    </row>
    <row r="44">
      <c r="A44" s="4" t="inlineStr">
        <is>
          <t>UNI-040</t>
        </is>
      </c>
      <c r="B44" s="4" t="inlineStr">
        <is>
          <t>CAMISA P/DAMA DE MEZCLILLA #46</t>
        </is>
      </c>
      <c r="C44" s="4" t="inlineStr">
        <is>
          <t>Camisa Dama</t>
        </is>
      </c>
      <c r="D44" s="4" t="inlineStr">
        <is>
          <t>46</t>
        </is>
      </c>
      <c r="E44" s="4" t="n">
        <v>6</v>
      </c>
      <c r="F44" s="5" t="n">
        <v>201.5</v>
      </c>
      <c r="G44" s="4" t="n">
        <v>0</v>
      </c>
      <c r="H44" s="4" t="n">
        <v>6</v>
      </c>
      <c r="I44" s="4" t="n">
        <v>3</v>
      </c>
      <c r="J44" s="6">
        <f>IF(H44=0,"AGOTADO",IF(H44&lt;=I44,"BAJO","OK"))</f>
        <v/>
      </c>
      <c r="K44" s="5">
        <f>H44*F44</f>
        <v/>
      </c>
      <c r="L44" s="6" t="inlineStr">
        <is>
          <t>UNI-040</t>
        </is>
      </c>
    </row>
    <row r="45">
      <c r="A45" s="4" t="inlineStr">
        <is>
          <t>UNI-041</t>
        </is>
      </c>
      <c r="B45" s="4" t="inlineStr">
        <is>
          <t>CAMISA P/DAMA DE MEZCLILLA #48</t>
        </is>
      </c>
      <c r="C45" s="4" t="inlineStr">
        <is>
          <t>Camisa Dama</t>
        </is>
      </c>
      <c r="D45" s="4" t="inlineStr">
        <is>
          <t>48</t>
        </is>
      </c>
      <c r="E45" s="4" t="n">
        <v>5</v>
      </c>
      <c r="F45" s="5" t="n">
        <v>201.5</v>
      </c>
      <c r="G45" s="4" t="n">
        <v>0</v>
      </c>
      <c r="H45" s="4" t="n">
        <v>5</v>
      </c>
      <c r="I45" s="4" t="n">
        <v>3</v>
      </c>
      <c r="J45" s="6">
        <f>IF(H45=0,"AGOTADO",IF(H45&lt;=I45,"BAJO","OK"))</f>
        <v/>
      </c>
      <c r="K45" s="5">
        <f>H45*F45</f>
        <v/>
      </c>
      <c r="L45" s="6" t="inlineStr">
        <is>
          <t>UNI-041</t>
        </is>
      </c>
    </row>
    <row r="46">
      <c r="A46" s="4" t="inlineStr">
        <is>
          <t>UNI-042</t>
        </is>
      </c>
      <c r="B46" s="4" t="inlineStr">
        <is>
          <t>PANTALÓN P/ DAMA MEZCLILLA #28</t>
        </is>
      </c>
      <c r="C46" s="4" t="inlineStr">
        <is>
          <t>Pantalón Dama</t>
        </is>
      </c>
      <c r="D46" s="4" t="inlineStr">
        <is>
          <t>28</t>
        </is>
      </c>
      <c r="E46" s="4" t="n">
        <v>13</v>
      </c>
      <c r="F46" s="5" t="n">
        <v>183</v>
      </c>
      <c r="G46" s="4" t="n">
        <v>0</v>
      </c>
      <c r="H46" s="4" t="n">
        <v>13</v>
      </c>
      <c r="I46" s="4" t="n">
        <v>3</v>
      </c>
      <c r="J46" s="6">
        <f>IF(H46=0,"AGOTADO",IF(H46&lt;=I46,"BAJO","OK"))</f>
        <v/>
      </c>
      <c r="K46" s="5">
        <f>H46*F46</f>
        <v/>
      </c>
      <c r="L46" s="6" t="inlineStr">
        <is>
          <t>UNI-042</t>
        </is>
      </c>
    </row>
    <row r="47">
      <c r="A47" s="4" t="inlineStr">
        <is>
          <t>UNI-043</t>
        </is>
      </c>
      <c r="B47" s="4" t="inlineStr">
        <is>
          <t>PANTALÓN P/ DAMA MEZCLILLA #30</t>
        </is>
      </c>
      <c r="C47" s="4" t="inlineStr">
        <is>
          <t>Pantalón Dama</t>
        </is>
      </c>
      <c r="D47" s="4" t="inlineStr">
        <is>
          <t>30</t>
        </is>
      </c>
      <c r="E47" s="4" t="n">
        <v>9</v>
      </c>
      <c r="F47" s="5" t="n">
        <v>183</v>
      </c>
      <c r="G47" s="4" t="n">
        <v>1</v>
      </c>
      <c r="H47" s="4" t="n">
        <v>9</v>
      </c>
      <c r="I47" s="4" t="n">
        <v>3</v>
      </c>
      <c r="J47" s="6">
        <f>IF(H47=0,"AGOTADO",IF(H47&lt;=I47,"BAJO","OK"))</f>
        <v/>
      </c>
      <c r="K47" s="5">
        <f>H47*F47</f>
        <v/>
      </c>
      <c r="L47" s="6" t="inlineStr">
        <is>
          <t>UNI-043</t>
        </is>
      </c>
    </row>
    <row r="48">
      <c r="A48" s="4" t="inlineStr">
        <is>
          <t>UNI-044</t>
        </is>
      </c>
      <c r="B48" s="4" t="inlineStr">
        <is>
          <t>PANTALÓN P/ DAMA MEZCLILLA #32</t>
        </is>
      </c>
      <c r="C48" s="4" t="inlineStr">
        <is>
          <t>Pantalón Dama</t>
        </is>
      </c>
      <c r="D48" s="4" t="inlineStr">
        <is>
          <t>32</t>
        </is>
      </c>
      <c r="E48" s="4" t="n">
        <v>9</v>
      </c>
      <c r="F48" s="5" t="n">
        <v>183</v>
      </c>
      <c r="G48" s="4" t="n">
        <v>1</v>
      </c>
      <c r="H48" s="4" t="n">
        <v>9</v>
      </c>
      <c r="I48" s="4" t="n">
        <v>3</v>
      </c>
      <c r="J48" s="6">
        <f>IF(H48=0,"AGOTADO",IF(H48&lt;=I48,"BAJO","OK"))</f>
        <v/>
      </c>
      <c r="K48" s="5">
        <f>H48*F48</f>
        <v/>
      </c>
      <c r="L48" s="6" t="inlineStr">
        <is>
          <t>UNI-044</t>
        </is>
      </c>
    </row>
    <row r="49">
      <c r="A49" s="4" t="inlineStr">
        <is>
          <t>UNI-045</t>
        </is>
      </c>
      <c r="B49" s="4" t="inlineStr">
        <is>
          <t>PANTALÓN P/ DAMA MEZCLILLA #34</t>
        </is>
      </c>
      <c r="C49" s="4" t="inlineStr">
        <is>
          <t>Pantalón Dama</t>
        </is>
      </c>
      <c r="D49" s="4" t="inlineStr">
        <is>
          <t>34</t>
        </is>
      </c>
      <c r="E49" s="4" t="n">
        <v>5</v>
      </c>
      <c r="F49" s="5" t="n">
        <v>183</v>
      </c>
      <c r="G49" s="4" t="n">
        <v>0</v>
      </c>
      <c r="H49" s="4" t="n">
        <v>5</v>
      </c>
      <c r="I49" s="4" t="n">
        <v>3</v>
      </c>
      <c r="J49" s="6">
        <f>IF(H49=0,"AGOTADO",IF(H49&lt;=I49,"BAJO","OK"))</f>
        <v/>
      </c>
      <c r="K49" s="5">
        <f>H49*F49</f>
        <v/>
      </c>
      <c r="L49" s="6" t="inlineStr">
        <is>
          <t>UNI-045</t>
        </is>
      </c>
    </row>
    <row r="50">
      <c r="A50" s="4" t="inlineStr">
        <is>
          <t>UNI-046</t>
        </is>
      </c>
      <c r="B50" s="4" t="inlineStr">
        <is>
          <t>PANTALÓN P/ DAMA MEZCLILLA #36</t>
        </is>
      </c>
      <c r="C50" s="4" t="inlineStr">
        <is>
          <t>Pantalón Dama</t>
        </is>
      </c>
      <c r="D50" s="4" t="inlineStr">
        <is>
          <t>36</t>
        </is>
      </c>
      <c r="E50" s="4" t="n">
        <v>6</v>
      </c>
      <c r="F50" s="5" t="n">
        <v>183</v>
      </c>
      <c r="G50" s="4" t="n">
        <v>0</v>
      </c>
      <c r="H50" s="4" t="n">
        <v>6</v>
      </c>
      <c r="I50" s="4" t="n">
        <v>3</v>
      </c>
      <c r="J50" s="6">
        <f>IF(H50=0,"AGOTADO",IF(H50&lt;=I50,"BAJO","OK"))</f>
        <v/>
      </c>
      <c r="K50" s="5">
        <f>H50*F50</f>
        <v/>
      </c>
      <c r="L50" s="6" t="inlineStr">
        <is>
          <t>UNI-046</t>
        </is>
      </c>
    </row>
    <row r="51">
      <c r="A51" s="4" t="inlineStr">
        <is>
          <t>UNI-047</t>
        </is>
      </c>
      <c r="B51" s="4" t="inlineStr">
        <is>
          <t>PANTALÓN P/ DAMA MEZCLILLA #38</t>
        </is>
      </c>
      <c r="C51" s="4" t="inlineStr">
        <is>
          <t>Pantalón Dama</t>
        </is>
      </c>
      <c r="D51" s="4" t="inlineStr">
        <is>
          <t>38</t>
        </is>
      </c>
      <c r="E51" s="4" t="n">
        <v>9</v>
      </c>
      <c r="F51" s="5" t="n">
        <v>183</v>
      </c>
      <c r="G51" s="4" t="n">
        <v>0</v>
      </c>
      <c r="H51" s="4" t="n">
        <v>9</v>
      </c>
      <c r="I51" s="4" t="n">
        <v>3</v>
      </c>
      <c r="J51" s="6">
        <f>IF(H51=0,"AGOTADO",IF(H51&lt;=I51,"BAJO","OK"))</f>
        <v/>
      </c>
      <c r="K51" s="5">
        <f>H51*F51</f>
        <v/>
      </c>
      <c r="L51" s="6" t="inlineStr">
        <is>
          <t>UNI-047</t>
        </is>
      </c>
    </row>
    <row r="52">
      <c r="A52" s="4" t="inlineStr">
        <is>
          <t>UNI-048</t>
        </is>
      </c>
      <c r="B52" s="4" t="inlineStr">
        <is>
          <t>PANTALÓN P/ DAMA MEZCLILLA #40</t>
        </is>
      </c>
      <c r="C52" s="4" t="inlineStr">
        <is>
          <t>Pantalón Dama</t>
        </is>
      </c>
      <c r="D52" s="4" t="inlineStr">
        <is>
          <t>40</t>
        </is>
      </c>
      <c r="E52" s="4" t="n">
        <v>5</v>
      </c>
      <c r="F52" s="5" t="n">
        <v>183</v>
      </c>
      <c r="G52" s="4" t="n">
        <v>0</v>
      </c>
      <c r="H52" s="4" t="n">
        <v>5</v>
      </c>
      <c r="I52" s="4" t="n">
        <v>3</v>
      </c>
      <c r="J52" s="6">
        <f>IF(H52=0,"AGOTADO",IF(H52&lt;=I52,"BAJO","OK"))</f>
        <v/>
      </c>
      <c r="K52" s="5">
        <f>H52*F52</f>
        <v/>
      </c>
      <c r="L52" s="6" t="inlineStr">
        <is>
          <t>UNI-048</t>
        </is>
      </c>
    </row>
    <row r="53">
      <c r="A53" s="4" t="inlineStr">
        <is>
          <t>UNI-049</t>
        </is>
      </c>
      <c r="B53" s="4" t="inlineStr">
        <is>
          <t>PANTALÓN P/ DAMA MEZCLILLA #42</t>
        </is>
      </c>
      <c r="C53" s="4" t="inlineStr">
        <is>
          <t>Pantalón Dama</t>
        </is>
      </c>
      <c r="D53" s="4" t="inlineStr">
        <is>
          <t>42</t>
        </is>
      </c>
      <c r="E53" s="4" t="n">
        <v>7</v>
      </c>
      <c r="F53" s="5" t="n">
        <v>183</v>
      </c>
      <c r="G53" s="4" t="n">
        <v>0</v>
      </c>
      <c r="H53" s="4" t="n">
        <v>7</v>
      </c>
      <c r="I53" s="4" t="n">
        <v>3</v>
      </c>
      <c r="J53" s="6">
        <f>IF(H53=0,"AGOTADO",IF(H53&lt;=I53,"BAJO","OK"))</f>
        <v/>
      </c>
      <c r="K53" s="5">
        <f>H53*F53</f>
        <v/>
      </c>
      <c r="L53" s="6" t="inlineStr">
        <is>
          <t>UNI-049</t>
        </is>
      </c>
    </row>
    <row r="54">
      <c r="A54" s="4" t="inlineStr">
        <is>
          <t>UNI-050</t>
        </is>
      </c>
      <c r="B54" s="4" t="inlineStr">
        <is>
          <t>PANTALÓN P/ DAMA MEZCLILLA #44</t>
        </is>
      </c>
      <c r="C54" s="4" t="inlineStr">
        <is>
          <t>Pantalón Dama</t>
        </is>
      </c>
      <c r="D54" s="4" t="inlineStr">
        <is>
          <t>44</t>
        </is>
      </c>
      <c r="E54" s="4" t="n">
        <v>5</v>
      </c>
      <c r="F54" s="5" t="n">
        <v>183</v>
      </c>
      <c r="G54" s="4" t="n">
        <v>0</v>
      </c>
      <c r="H54" s="4" t="n">
        <v>5</v>
      </c>
      <c r="I54" s="4" t="n">
        <v>3</v>
      </c>
      <c r="J54" s="6">
        <f>IF(H54=0,"AGOTADO",IF(H54&lt;=I54,"BAJO","OK"))</f>
        <v/>
      </c>
      <c r="K54" s="5">
        <f>H54*F54</f>
        <v/>
      </c>
      <c r="L54" s="6" t="inlineStr">
        <is>
          <t>UNI-050</t>
        </is>
      </c>
    </row>
    <row r="55">
      <c r="A55" s="4" t="inlineStr">
        <is>
          <t>UNI-051</t>
        </is>
      </c>
      <c r="B55" s="4" t="inlineStr">
        <is>
          <t>PANTALÓN P/ DAMA MEZCLILLA #46</t>
        </is>
      </c>
      <c r="C55" s="4" t="inlineStr">
        <is>
          <t>Pantalón Dama</t>
        </is>
      </c>
      <c r="D55" s="4" t="inlineStr">
        <is>
          <t>46</t>
        </is>
      </c>
      <c r="E55" s="4" t="n">
        <v>5</v>
      </c>
      <c r="F55" s="5" t="n">
        <v>183</v>
      </c>
      <c r="G55" s="4" t="n">
        <v>0</v>
      </c>
      <c r="H55" s="4" t="n">
        <v>5</v>
      </c>
      <c r="I55" s="4" t="n">
        <v>3</v>
      </c>
      <c r="J55" s="6">
        <f>IF(H55=0,"AGOTADO",IF(H55&lt;=I55,"BAJO","OK"))</f>
        <v/>
      </c>
      <c r="K55" s="5">
        <f>H55*F55</f>
        <v/>
      </c>
      <c r="L55" s="6" t="inlineStr">
        <is>
          <t>UNI-051</t>
        </is>
      </c>
    </row>
    <row r="56">
      <c r="A56" s="4" t="inlineStr">
        <is>
          <t>UNI-052</t>
        </is>
      </c>
      <c r="B56" s="4" t="inlineStr">
        <is>
          <t>PANTALÓN P/ DAMA MEZCLILLA #48</t>
        </is>
      </c>
      <c r="C56" s="4" t="inlineStr">
        <is>
          <t>Pantalón Dama</t>
        </is>
      </c>
      <c r="D56" s="4" t="inlineStr">
        <is>
          <t>48</t>
        </is>
      </c>
      <c r="E56" s="4" t="n">
        <v>5</v>
      </c>
      <c r="F56" s="5" t="n">
        <v>183</v>
      </c>
      <c r="G56" s="4" t="n">
        <v>0</v>
      </c>
      <c r="H56" s="4" t="n">
        <v>5</v>
      </c>
      <c r="I56" s="4" t="n">
        <v>3</v>
      </c>
      <c r="J56" s="6">
        <f>IF(H56=0,"AGOTADO",IF(H56&lt;=I56,"BAJO","OK"))</f>
        <v/>
      </c>
      <c r="K56" s="5">
        <f>H56*F56</f>
        <v/>
      </c>
      <c r="L56" s="6" t="inlineStr">
        <is>
          <t>UNI-052</t>
        </is>
      </c>
    </row>
    <row r="57">
      <c r="A57" s="4" t="inlineStr">
        <is>
          <t>UNI-053</t>
        </is>
      </c>
      <c r="B57" s="4" t="inlineStr">
        <is>
          <t>PANTALON P/CABALLERO COLOR CAQUI #28</t>
        </is>
      </c>
      <c r="C57" s="4" t="inlineStr">
        <is>
          <t>Pantalón Caballero Caqui</t>
        </is>
      </c>
      <c r="D57" s="4" t="inlineStr">
        <is>
          <t>28</t>
        </is>
      </c>
      <c r="E57" s="4" t="n">
        <v>2</v>
      </c>
      <c r="F57" s="5" t="n">
        <v>193</v>
      </c>
      <c r="G57" s="4" t="n">
        <v>0</v>
      </c>
      <c r="H57" s="4" t="n">
        <v>2</v>
      </c>
      <c r="I57" s="4" t="n">
        <v>3</v>
      </c>
      <c r="J57" s="6">
        <f>IF(H57=0,"AGOTADO",IF(H57&lt;=I57,"BAJO","OK"))</f>
        <v/>
      </c>
      <c r="K57" s="5">
        <f>H57*F57</f>
        <v/>
      </c>
      <c r="L57" s="6" t="inlineStr">
        <is>
          <t>UNI-053</t>
        </is>
      </c>
    </row>
    <row r="58">
      <c r="A58" s="4" t="inlineStr">
        <is>
          <t>UNI-054</t>
        </is>
      </c>
      <c r="B58" s="4" t="inlineStr">
        <is>
          <t>PANTALON P/CABALLERO COLOR CAQUI #30</t>
        </is>
      </c>
      <c r="C58" s="4" t="inlineStr">
        <is>
          <t>Pantalón Caballero Caqui</t>
        </is>
      </c>
      <c r="D58" s="4" t="inlineStr">
        <is>
          <t>30</t>
        </is>
      </c>
      <c r="E58" s="4" t="n">
        <v>1</v>
      </c>
      <c r="F58" s="5" t="n">
        <v>193</v>
      </c>
      <c r="G58" s="4" t="n">
        <v>0</v>
      </c>
      <c r="H58" s="4" t="n">
        <v>1</v>
      </c>
      <c r="I58" s="4" t="n">
        <v>3</v>
      </c>
      <c r="J58" s="6">
        <f>IF(H58=0,"AGOTADO",IF(H58&lt;=I58,"BAJO","OK"))</f>
        <v/>
      </c>
      <c r="K58" s="5">
        <f>H58*F58</f>
        <v/>
      </c>
      <c r="L58" s="6" t="inlineStr">
        <is>
          <t>UNI-054</t>
        </is>
      </c>
    </row>
    <row r="59">
      <c r="A59" s="4" t="inlineStr">
        <is>
          <t>UNI-055</t>
        </is>
      </c>
      <c r="B59" s="4" t="inlineStr">
        <is>
          <t>PANTALON P/CABALLERO COLOR CAQUI #32</t>
        </is>
      </c>
      <c r="C59" s="4" t="inlineStr">
        <is>
          <t>Pantalón Caballero Caqui</t>
        </is>
      </c>
      <c r="D59" s="4" t="inlineStr">
        <is>
          <t>32</t>
        </is>
      </c>
      <c r="E59" s="4" t="n">
        <v>11</v>
      </c>
      <c r="F59" s="5" t="n">
        <v>193</v>
      </c>
      <c r="G59" s="4" t="n">
        <v>0</v>
      </c>
      <c r="H59" s="4" t="n">
        <v>11</v>
      </c>
      <c r="I59" s="4" t="n">
        <v>3</v>
      </c>
      <c r="J59" s="6">
        <f>IF(H59=0,"AGOTADO",IF(H59&lt;=I59,"BAJO","OK"))</f>
        <v/>
      </c>
      <c r="K59" s="5">
        <f>H59*F59</f>
        <v/>
      </c>
      <c r="L59" s="6" t="inlineStr">
        <is>
          <t>UNI-055</t>
        </is>
      </c>
    </row>
    <row r="60">
      <c r="A60" s="4" t="inlineStr">
        <is>
          <t>UNI-056</t>
        </is>
      </c>
      <c r="B60" s="4" t="inlineStr">
        <is>
          <t>PANTALON P/CABALLERO COLOR CAQUI #34</t>
        </is>
      </c>
      <c r="C60" s="4" t="inlineStr">
        <is>
          <t>Pantalón Caballero Caqui</t>
        </is>
      </c>
      <c r="D60" s="4" t="inlineStr">
        <is>
          <t>34</t>
        </is>
      </c>
      <c r="E60" s="4" t="n">
        <v>5</v>
      </c>
      <c r="F60" s="5" t="n">
        <v>193</v>
      </c>
      <c r="G60" s="4" t="n">
        <v>0</v>
      </c>
      <c r="H60" s="4" t="n">
        <v>5</v>
      </c>
      <c r="I60" s="4" t="n">
        <v>3</v>
      </c>
      <c r="J60" s="6">
        <f>IF(H60=0,"AGOTADO",IF(H60&lt;=I60,"BAJO","OK"))</f>
        <v/>
      </c>
      <c r="K60" s="5">
        <f>H60*F60</f>
        <v/>
      </c>
      <c r="L60" s="6" t="inlineStr">
        <is>
          <t>UNI-056</t>
        </is>
      </c>
    </row>
    <row r="61">
      <c r="A61" s="4" t="inlineStr">
        <is>
          <t>UNI-057</t>
        </is>
      </c>
      <c r="B61" s="4" t="inlineStr">
        <is>
          <t>PANTALON P/CABALLERO COLOR CAQUI #36</t>
        </is>
      </c>
      <c r="C61" s="4" t="inlineStr">
        <is>
          <t>Pantalón Caballero Caqui</t>
        </is>
      </c>
      <c r="D61" s="4" t="inlineStr">
        <is>
          <t>36</t>
        </is>
      </c>
      <c r="E61" s="4" t="n">
        <v>10</v>
      </c>
      <c r="F61" s="5" t="n">
        <v>193</v>
      </c>
      <c r="G61" s="4" t="n">
        <v>0</v>
      </c>
      <c r="H61" s="4" t="n">
        <v>10</v>
      </c>
      <c r="I61" s="4" t="n">
        <v>3</v>
      </c>
      <c r="J61" s="6">
        <f>IF(H61=0,"AGOTADO",IF(H61&lt;=I61,"BAJO","OK"))</f>
        <v/>
      </c>
      <c r="K61" s="5">
        <f>H61*F61</f>
        <v/>
      </c>
      <c r="L61" s="6" t="inlineStr">
        <is>
          <t>UNI-057</t>
        </is>
      </c>
    </row>
    <row r="62">
      <c r="A62" s="4" t="inlineStr">
        <is>
          <t>UNI-058</t>
        </is>
      </c>
      <c r="B62" s="4" t="inlineStr">
        <is>
          <t>PANTALON P/CABALLERO COLOR CAQUI #38</t>
        </is>
      </c>
      <c r="C62" s="4" t="inlineStr">
        <is>
          <t>Pantalón Caballero Caqui</t>
        </is>
      </c>
      <c r="D62" s="4" t="inlineStr">
        <is>
          <t>38</t>
        </is>
      </c>
      <c r="E62" s="4" t="n">
        <v>5</v>
      </c>
      <c r="F62" s="5" t="n">
        <v>193</v>
      </c>
      <c r="G62" s="4" t="n">
        <v>0</v>
      </c>
      <c r="H62" s="4" t="n">
        <v>5</v>
      </c>
      <c r="I62" s="4" t="n">
        <v>3</v>
      </c>
      <c r="J62" s="6">
        <f>IF(H62=0,"AGOTADO",IF(H62&lt;=I62,"BAJO","OK"))</f>
        <v/>
      </c>
      <c r="K62" s="5">
        <f>H62*F62</f>
        <v/>
      </c>
      <c r="L62" s="6" t="inlineStr">
        <is>
          <t>UNI-058</t>
        </is>
      </c>
    </row>
    <row r="63">
      <c r="A63" s="4" t="inlineStr">
        <is>
          <t>UNI-059</t>
        </is>
      </c>
      <c r="B63" s="4" t="inlineStr">
        <is>
          <t>PANTALON P/CABALLERO COLOR CAQUI #40</t>
        </is>
      </c>
      <c r="C63" s="4" t="inlineStr">
        <is>
          <t>Pantalón Caballero Caqui</t>
        </is>
      </c>
      <c r="D63" s="4" t="inlineStr">
        <is>
          <t>40</t>
        </is>
      </c>
      <c r="E63" s="4" t="n">
        <v>4</v>
      </c>
      <c r="F63" s="5" t="n">
        <v>193</v>
      </c>
      <c r="G63" s="4" t="n">
        <v>0</v>
      </c>
      <c r="H63" s="4" t="n">
        <v>4</v>
      </c>
      <c r="I63" s="4" t="n">
        <v>3</v>
      </c>
      <c r="J63" s="6">
        <f>IF(H63=0,"AGOTADO",IF(H63&lt;=I63,"BAJO","OK"))</f>
        <v/>
      </c>
      <c r="K63" s="5">
        <f>H63*F63</f>
        <v/>
      </c>
      <c r="L63" s="6" t="inlineStr">
        <is>
          <t>UNI-059</t>
        </is>
      </c>
    </row>
    <row r="64">
      <c r="A64" s="4" t="inlineStr">
        <is>
          <t>UNI-060</t>
        </is>
      </c>
      <c r="B64" s="4" t="inlineStr">
        <is>
          <t>PANTALON P/CABALLERO COLOR CAQUI #42</t>
        </is>
      </c>
      <c r="C64" s="4" t="inlineStr">
        <is>
          <t>Pantalón Caballero Caqui</t>
        </is>
      </c>
      <c r="D64" s="4" t="inlineStr">
        <is>
          <t>42</t>
        </is>
      </c>
      <c r="E64" s="4" t="n">
        <v>4</v>
      </c>
      <c r="F64" s="5" t="n">
        <v>193</v>
      </c>
      <c r="G64" s="4" t="n">
        <v>0</v>
      </c>
      <c r="H64" s="4" t="n">
        <v>4</v>
      </c>
      <c r="I64" s="4" t="n">
        <v>3</v>
      </c>
      <c r="J64" s="6">
        <f>IF(H64=0,"AGOTADO",IF(H64&lt;=I64,"BAJO","OK"))</f>
        <v/>
      </c>
      <c r="K64" s="5">
        <f>H64*F64</f>
        <v/>
      </c>
      <c r="L64" s="6" t="inlineStr">
        <is>
          <t>UNI-060</t>
        </is>
      </c>
    </row>
    <row r="65">
      <c r="A65" s="4" t="inlineStr">
        <is>
          <t>UNI-061</t>
        </is>
      </c>
      <c r="B65" s="4" t="inlineStr">
        <is>
          <t>PANTALON P/CABALLERO COLOR CAQUI #44</t>
        </is>
      </c>
      <c r="C65" s="4" t="inlineStr">
        <is>
          <t>Pantalón Caballero Caqui</t>
        </is>
      </c>
      <c r="D65" s="4" t="inlineStr">
        <is>
          <t>44</t>
        </is>
      </c>
      <c r="E65" s="4" t="n">
        <v>2</v>
      </c>
      <c r="F65" s="5" t="n">
        <v>193</v>
      </c>
      <c r="G65" s="4" t="n">
        <v>0</v>
      </c>
      <c r="H65" s="4" t="n">
        <v>2</v>
      </c>
      <c r="I65" s="4" t="n">
        <v>3</v>
      </c>
      <c r="J65" s="6">
        <f>IF(H65=0,"AGOTADO",IF(H65&lt;=I65,"BAJO","OK"))</f>
        <v/>
      </c>
      <c r="K65" s="5">
        <f>H65*F65</f>
        <v/>
      </c>
      <c r="L65" s="6" t="inlineStr">
        <is>
          <t>UNI-061</t>
        </is>
      </c>
    </row>
    <row r="66">
      <c r="A66" s="4" t="inlineStr">
        <is>
          <t>UNI-062</t>
        </is>
      </c>
      <c r="B66" s="4" t="inlineStr">
        <is>
          <t>PANTALON P/CABALLERO COLOR CAQUI #46</t>
        </is>
      </c>
      <c r="C66" s="4" t="inlineStr">
        <is>
          <t>Pantalón Caballero Caqui</t>
        </is>
      </c>
      <c r="D66" s="4" t="inlineStr">
        <is>
          <t>46</t>
        </is>
      </c>
      <c r="E66" s="4" t="n">
        <v>8</v>
      </c>
      <c r="F66" s="5" t="n">
        <v>193</v>
      </c>
      <c r="G66" s="4" t="n">
        <v>0</v>
      </c>
      <c r="H66" s="4" t="n">
        <v>8</v>
      </c>
      <c r="I66" s="4" t="n">
        <v>3</v>
      </c>
      <c r="J66" s="6">
        <f>IF(H66=0,"AGOTADO",IF(H66&lt;=I66,"BAJO","OK"))</f>
        <v/>
      </c>
      <c r="K66" s="5">
        <f>H66*F66</f>
        <v/>
      </c>
      <c r="L66" s="6" t="inlineStr">
        <is>
          <t>UNI-062</t>
        </is>
      </c>
    </row>
    <row r="67">
      <c r="A67" s="4" t="inlineStr">
        <is>
          <t>UNI-063</t>
        </is>
      </c>
      <c r="B67" s="4" t="inlineStr">
        <is>
          <t>PANTALON P/CABALLERO COLOR CAQUI #48</t>
        </is>
      </c>
      <c r="C67" s="4" t="inlineStr">
        <is>
          <t>Pantalón Caballero Caqui</t>
        </is>
      </c>
      <c r="D67" s="4" t="inlineStr">
        <is>
          <t>48</t>
        </is>
      </c>
      <c r="E67" s="4" t="n">
        <v>2</v>
      </c>
      <c r="F67" s="5" t="n">
        <v>193</v>
      </c>
      <c r="G67" s="4" t="n">
        <v>0</v>
      </c>
      <c r="H67" s="4" t="n">
        <v>2</v>
      </c>
      <c r="I67" s="4" t="n">
        <v>3</v>
      </c>
      <c r="J67" s="6">
        <f>IF(H67=0,"AGOTADO",IF(H67&lt;=I67,"BAJO","OK"))</f>
        <v/>
      </c>
      <c r="K67" s="5">
        <f>H67*F67</f>
        <v/>
      </c>
      <c r="L67" s="6" t="inlineStr">
        <is>
          <t>UNI-063</t>
        </is>
      </c>
    </row>
    <row r="68">
      <c r="A68" s="4" t="inlineStr">
        <is>
          <t>UNI-064</t>
        </is>
      </c>
      <c r="B68" s="4" t="inlineStr">
        <is>
          <t>PANTALON P/CABALLERO MEZCLILLA # 28</t>
        </is>
      </c>
      <c r="C68" s="4" t="inlineStr">
        <is>
          <t>Pantalón Caballero Mezclilla</t>
        </is>
      </c>
      <c r="D68" s="4" t="inlineStr">
        <is>
          <t>28</t>
        </is>
      </c>
      <c r="E68" s="4" t="n">
        <v>13</v>
      </c>
      <c r="F68" s="5" t="n">
        <v>190.5</v>
      </c>
      <c r="G68" s="4" t="n">
        <v>0</v>
      </c>
      <c r="H68" s="4" t="n">
        <v>13</v>
      </c>
      <c r="I68" s="4" t="n">
        <v>3</v>
      </c>
      <c r="J68" s="6">
        <f>IF(H68=0,"AGOTADO",IF(H68&lt;=I68,"BAJO","OK"))</f>
        <v/>
      </c>
      <c r="K68" s="5">
        <f>H68*F68</f>
        <v/>
      </c>
      <c r="L68" s="6" t="inlineStr">
        <is>
          <t>UNI-064</t>
        </is>
      </c>
    </row>
    <row r="69">
      <c r="A69" s="4" t="inlineStr">
        <is>
          <t>UNI-065</t>
        </is>
      </c>
      <c r="B69" s="4" t="inlineStr">
        <is>
          <t>PANTALON P/CABALLERO MEZCLILLA # 30</t>
        </is>
      </c>
      <c r="C69" s="4" t="inlineStr">
        <is>
          <t>Pantalón Caballero Mezclilla</t>
        </is>
      </c>
      <c r="D69" s="4" t="inlineStr">
        <is>
          <t>30</t>
        </is>
      </c>
      <c r="E69" s="4" t="n">
        <v>14</v>
      </c>
      <c r="F69" s="5" t="n">
        <v>190.5</v>
      </c>
      <c r="G69" s="4" t="n">
        <v>0</v>
      </c>
      <c r="H69" s="4" t="n">
        <v>14</v>
      </c>
      <c r="I69" s="4" t="n">
        <v>3</v>
      </c>
      <c r="J69" s="6">
        <f>IF(H69=0,"AGOTADO",IF(H69&lt;=I69,"BAJO","OK"))</f>
        <v/>
      </c>
      <c r="K69" s="5">
        <f>H69*F69</f>
        <v/>
      </c>
      <c r="L69" s="6" t="inlineStr">
        <is>
          <t>UNI-065</t>
        </is>
      </c>
    </row>
    <row r="70">
      <c r="A70" s="4" t="inlineStr">
        <is>
          <t>UNI-066</t>
        </is>
      </c>
      <c r="B70" s="4" t="inlineStr">
        <is>
          <t>PANTALON P/CABALLERO MEZCLILLA # 32</t>
        </is>
      </c>
      <c r="C70" s="4" t="inlineStr">
        <is>
          <t>Pantalón Caballero Mezclilla</t>
        </is>
      </c>
      <c r="D70" s="4" t="inlineStr">
        <is>
          <t>32</t>
        </is>
      </c>
      <c r="E70" s="4" t="n">
        <v>16</v>
      </c>
      <c r="F70" s="5" t="n">
        <v>190.5</v>
      </c>
      <c r="G70" s="4" t="n">
        <v>1</v>
      </c>
      <c r="H70" s="4" t="n">
        <v>16</v>
      </c>
      <c r="I70" s="4" t="n">
        <v>3</v>
      </c>
      <c r="J70" s="6">
        <f>IF(H70=0,"AGOTADO",IF(H70&lt;=I70,"BAJO","OK"))</f>
        <v/>
      </c>
      <c r="K70" s="5">
        <f>H70*F70</f>
        <v/>
      </c>
      <c r="L70" s="6" t="inlineStr">
        <is>
          <t>UNI-066</t>
        </is>
      </c>
    </row>
    <row r="71">
      <c r="A71" s="4" t="inlineStr">
        <is>
          <t>UNI-067</t>
        </is>
      </c>
      <c r="B71" s="4" t="inlineStr">
        <is>
          <t>PANTALON P/CABALLERO MEZCLILLA # 34</t>
        </is>
      </c>
      <c r="C71" s="4" t="inlineStr">
        <is>
          <t>Pantalón Caballero Mezclilla</t>
        </is>
      </c>
      <c r="D71" s="4" t="inlineStr">
        <is>
          <t>34</t>
        </is>
      </c>
      <c r="E71" s="4" t="n">
        <v>3</v>
      </c>
      <c r="F71" s="5" t="n">
        <v>190.5</v>
      </c>
      <c r="G71" s="4" t="n">
        <v>0</v>
      </c>
      <c r="H71" s="4" t="n">
        <v>3</v>
      </c>
      <c r="I71" s="4" t="n">
        <v>3</v>
      </c>
      <c r="J71" s="6">
        <f>IF(H71=0,"AGOTADO",IF(H71&lt;=I71,"BAJO","OK"))</f>
        <v/>
      </c>
      <c r="K71" s="5">
        <f>H71*F71</f>
        <v/>
      </c>
      <c r="L71" s="6" t="inlineStr">
        <is>
          <t>UNI-067</t>
        </is>
      </c>
    </row>
    <row r="72">
      <c r="A72" s="4" t="inlineStr">
        <is>
          <t>UNI-068</t>
        </is>
      </c>
      <c r="B72" s="4" t="inlineStr">
        <is>
          <t>PANTALON P/CABALLERO MEZCLILLA # 36</t>
        </is>
      </c>
      <c r="C72" s="4" t="inlineStr">
        <is>
          <t>Pantalón Caballero Mezclilla</t>
        </is>
      </c>
      <c r="D72" s="4" t="inlineStr">
        <is>
          <t>36</t>
        </is>
      </c>
      <c r="E72" s="4" t="n">
        <v>3</v>
      </c>
      <c r="F72" s="5" t="n">
        <v>190.5</v>
      </c>
      <c r="G72" s="4" t="n">
        <v>0</v>
      </c>
      <c r="H72" s="4" t="n">
        <v>3</v>
      </c>
      <c r="I72" s="4" t="n">
        <v>3</v>
      </c>
      <c r="J72" s="6">
        <f>IF(H72=0,"AGOTADO",IF(H72&lt;=I72,"BAJO","OK"))</f>
        <v/>
      </c>
      <c r="K72" s="5">
        <f>H72*F72</f>
        <v/>
      </c>
      <c r="L72" s="6" t="inlineStr">
        <is>
          <t>UNI-068</t>
        </is>
      </c>
    </row>
    <row r="73">
      <c r="A73" s="4" t="inlineStr">
        <is>
          <t>UNI-069</t>
        </is>
      </c>
      <c r="B73" s="4" t="inlineStr">
        <is>
          <t>PANTALON P/CABALLERO MEZCLILLA # 38</t>
        </is>
      </c>
      <c r="C73" s="4" t="inlineStr">
        <is>
          <t>Pantalón Caballero Mezclilla</t>
        </is>
      </c>
      <c r="D73" s="4" t="inlineStr">
        <is>
          <t>38</t>
        </is>
      </c>
      <c r="E73" s="4" t="n">
        <v>17</v>
      </c>
      <c r="F73" s="5" t="n">
        <v>190.5</v>
      </c>
      <c r="G73" s="4" t="n">
        <v>0</v>
      </c>
      <c r="H73" s="4" t="n">
        <v>17</v>
      </c>
      <c r="I73" s="4" t="n">
        <v>3</v>
      </c>
      <c r="J73" s="6">
        <f>IF(H73=0,"AGOTADO",IF(H73&lt;=I73,"BAJO","OK"))</f>
        <v/>
      </c>
      <c r="K73" s="5">
        <f>H73*F73</f>
        <v/>
      </c>
      <c r="L73" s="6" t="inlineStr">
        <is>
          <t>UNI-069</t>
        </is>
      </c>
    </row>
    <row r="74">
      <c r="A74" s="4" t="inlineStr">
        <is>
          <t>UNI-070</t>
        </is>
      </c>
      <c r="B74" s="4" t="inlineStr">
        <is>
          <t>PANTALON P/CABALLERO MEZCLILLA # 40</t>
        </is>
      </c>
      <c r="C74" s="4" t="inlineStr">
        <is>
          <t>Pantalón Caballero Mezclilla</t>
        </is>
      </c>
      <c r="D74" s="4" t="inlineStr">
        <is>
          <t>40</t>
        </is>
      </c>
      <c r="E74" s="4" t="n">
        <v>12</v>
      </c>
      <c r="F74" s="5" t="n">
        <v>190.5</v>
      </c>
      <c r="G74" s="4" t="n">
        <v>0</v>
      </c>
      <c r="H74" s="4" t="n">
        <v>12</v>
      </c>
      <c r="I74" s="4" t="n">
        <v>3</v>
      </c>
      <c r="J74" s="6">
        <f>IF(H74=0,"AGOTADO",IF(H74&lt;=I74,"BAJO","OK"))</f>
        <v/>
      </c>
      <c r="K74" s="5">
        <f>H74*F74</f>
        <v/>
      </c>
      <c r="L74" s="6" t="inlineStr">
        <is>
          <t>UNI-070</t>
        </is>
      </c>
    </row>
    <row r="75">
      <c r="A75" s="4" t="inlineStr">
        <is>
          <t>UNI-071</t>
        </is>
      </c>
      <c r="B75" s="4" t="inlineStr">
        <is>
          <t>PANTALON P/CABALLERO MEZCLILLA # 42</t>
        </is>
      </c>
      <c r="C75" s="4" t="inlineStr">
        <is>
          <t>Pantalón Caballero Mezclilla</t>
        </is>
      </c>
      <c r="D75" s="4" t="inlineStr">
        <is>
          <t>42</t>
        </is>
      </c>
      <c r="E75" s="4" t="n">
        <v>9</v>
      </c>
      <c r="F75" s="5" t="n">
        <v>190.5</v>
      </c>
      <c r="G75" s="4" t="n">
        <v>0</v>
      </c>
      <c r="H75" s="4" t="n">
        <v>9</v>
      </c>
      <c r="I75" s="4" t="n">
        <v>3</v>
      </c>
      <c r="J75" s="6">
        <f>IF(H75=0,"AGOTADO",IF(H75&lt;=I75,"BAJO","OK"))</f>
        <v/>
      </c>
      <c r="K75" s="5">
        <f>H75*F75</f>
        <v/>
      </c>
      <c r="L75" s="6" t="inlineStr">
        <is>
          <t>UNI-071</t>
        </is>
      </c>
    </row>
    <row r="76">
      <c r="A76" s="4" t="inlineStr">
        <is>
          <t>UNI-072</t>
        </is>
      </c>
      <c r="B76" s="4" t="inlineStr">
        <is>
          <t>PANTALON P/CABALLERO MEZCLILLA # 44</t>
        </is>
      </c>
      <c r="C76" s="4" t="inlineStr">
        <is>
          <t>Pantalón Caballero Mezclilla</t>
        </is>
      </c>
      <c r="D76" s="4" t="inlineStr">
        <is>
          <t>44</t>
        </is>
      </c>
      <c r="E76" s="4" t="n">
        <v>8</v>
      </c>
      <c r="F76" s="5" t="n">
        <v>190.5</v>
      </c>
      <c r="G76" s="4" t="n">
        <v>0</v>
      </c>
      <c r="H76" s="4" t="n">
        <v>8</v>
      </c>
      <c r="I76" s="4" t="n">
        <v>3</v>
      </c>
      <c r="J76" s="6">
        <f>IF(H76=0,"AGOTADO",IF(H76&lt;=I76,"BAJO","OK"))</f>
        <v/>
      </c>
      <c r="K76" s="5">
        <f>H76*F76</f>
        <v/>
      </c>
      <c r="L76" s="6" t="inlineStr">
        <is>
          <t>UNI-072</t>
        </is>
      </c>
    </row>
    <row r="77">
      <c r="A77" s="4" t="inlineStr">
        <is>
          <t>UNI-073</t>
        </is>
      </c>
      <c r="B77" s="4" t="inlineStr">
        <is>
          <t>PANTALON P/CABALLERO MEZCLILLA # 46</t>
        </is>
      </c>
      <c r="C77" s="4" t="inlineStr">
        <is>
          <t>Pantalón Caballero Mezclilla</t>
        </is>
      </c>
      <c r="D77" s="4" t="inlineStr">
        <is>
          <t>46</t>
        </is>
      </c>
      <c r="E77" s="4" t="n">
        <v>4</v>
      </c>
      <c r="F77" s="5" t="n">
        <v>190.5</v>
      </c>
      <c r="G77" s="4" t="n">
        <v>0</v>
      </c>
      <c r="H77" s="4" t="n">
        <v>4</v>
      </c>
      <c r="I77" s="4" t="n">
        <v>3</v>
      </c>
      <c r="J77" s="6">
        <f>IF(H77=0,"AGOTADO",IF(H77&lt;=I77,"BAJO","OK"))</f>
        <v/>
      </c>
      <c r="K77" s="5">
        <f>H77*F77</f>
        <v/>
      </c>
      <c r="L77" s="6" t="inlineStr">
        <is>
          <t>UNI-073</t>
        </is>
      </c>
    </row>
    <row r="78">
      <c r="A78" s="4" t="inlineStr">
        <is>
          <t>UNI-074</t>
        </is>
      </c>
      <c r="B78" s="4" t="inlineStr">
        <is>
          <t>PANTALON P/CABALLERO MEZCLILLA # 48</t>
        </is>
      </c>
      <c r="C78" s="4" t="inlineStr">
        <is>
          <t>Pantalón Caballero Mezclilla</t>
        </is>
      </c>
      <c r="D78" s="4" t="inlineStr">
        <is>
          <t>48</t>
        </is>
      </c>
      <c r="E78" s="4" t="n">
        <v>4</v>
      </c>
      <c r="F78" s="5" t="n">
        <v>190.5</v>
      </c>
      <c r="G78" s="4" t="n">
        <v>0</v>
      </c>
      <c r="H78" s="4" t="n">
        <v>4</v>
      </c>
      <c r="I78" s="4" t="n">
        <v>3</v>
      </c>
      <c r="J78" s="6">
        <f>IF(H78=0,"AGOTADO",IF(H78&lt;=I78,"BAJO","OK"))</f>
        <v/>
      </c>
      <c r="K78" s="5">
        <f>H78*F78</f>
        <v/>
      </c>
      <c r="L78" s="6" t="inlineStr">
        <is>
          <t>UNI-074</t>
        </is>
      </c>
    </row>
    <row r="79">
      <c r="A79" s="4" t="inlineStr">
        <is>
          <t>UNI-075</t>
        </is>
      </c>
      <c r="B79" s="4" t="inlineStr">
        <is>
          <t>PLAYERA TIPO POLO P/CABALLERO AZUL REY CH</t>
        </is>
      </c>
      <c r="C79" s="4" t="inlineStr">
        <is>
          <t>Playera Polo Caballero</t>
        </is>
      </c>
      <c r="D79" s="4" t="inlineStr">
        <is>
          <t>CH</t>
        </is>
      </c>
      <c r="E79" s="4" t="n">
        <v>11</v>
      </c>
      <c r="F79" s="5" t="n">
        <v>140</v>
      </c>
      <c r="G79" s="4" t="n">
        <v>1</v>
      </c>
      <c r="H79" s="4" t="n">
        <v>11</v>
      </c>
      <c r="I79" s="4" t="n">
        <v>3</v>
      </c>
      <c r="J79" s="6">
        <f>IF(H79=0,"AGOTADO",IF(H79&lt;=I79,"BAJO","OK"))</f>
        <v/>
      </c>
      <c r="K79" s="5">
        <f>H79*F79</f>
        <v/>
      </c>
      <c r="L79" s="6" t="inlineStr">
        <is>
          <t>UNI-075</t>
        </is>
      </c>
    </row>
    <row r="80">
      <c r="A80" s="4" t="inlineStr">
        <is>
          <t>UNI-076</t>
        </is>
      </c>
      <c r="B80" s="4" t="inlineStr">
        <is>
          <t>PLAYERA TIPO POLO P/CABALLERO AZUL REY M</t>
        </is>
      </c>
      <c r="C80" s="4" t="inlineStr">
        <is>
          <t>Playera Polo Caballero</t>
        </is>
      </c>
      <c r="D80" s="4" t="inlineStr">
        <is>
          <t>M</t>
        </is>
      </c>
      <c r="E80" s="4" t="n">
        <v>12</v>
      </c>
      <c r="F80" s="5" t="n">
        <v>140</v>
      </c>
      <c r="G80" s="4" t="n">
        <v>0</v>
      </c>
      <c r="H80" s="4" t="n">
        <v>12</v>
      </c>
      <c r="I80" s="4" t="n">
        <v>3</v>
      </c>
      <c r="J80" s="6">
        <f>IF(H80=0,"AGOTADO",IF(H80&lt;=I80,"BAJO","OK"))</f>
        <v/>
      </c>
      <c r="K80" s="5">
        <f>H80*F80</f>
        <v/>
      </c>
      <c r="L80" s="6" t="inlineStr">
        <is>
          <t>UNI-076</t>
        </is>
      </c>
    </row>
    <row r="81">
      <c r="A81" s="4" t="inlineStr">
        <is>
          <t>UNI-077</t>
        </is>
      </c>
      <c r="B81" s="4" t="inlineStr">
        <is>
          <t>PLAYERA TIPO POLO P/CABALLERO AZUL REY G</t>
        </is>
      </c>
      <c r="C81" s="4" t="inlineStr">
        <is>
          <t>Playera Polo Caballero</t>
        </is>
      </c>
      <c r="D81" s="4" t="inlineStr">
        <is>
          <t>G</t>
        </is>
      </c>
      <c r="E81" s="4" t="n">
        <v>5</v>
      </c>
      <c r="F81" s="5" t="n">
        <v>140</v>
      </c>
      <c r="G81" s="4" t="n">
        <v>0</v>
      </c>
      <c r="H81" s="4" t="n">
        <v>5</v>
      </c>
      <c r="I81" s="4" t="n">
        <v>3</v>
      </c>
      <c r="J81" s="6">
        <f>IF(H81=0,"AGOTADO",IF(H81&lt;=I81,"BAJO","OK"))</f>
        <v/>
      </c>
      <c r="K81" s="5">
        <f>H81*F81</f>
        <v/>
      </c>
      <c r="L81" s="6" t="inlineStr">
        <is>
          <t>UNI-077</t>
        </is>
      </c>
    </row>
    <row r="82">
      <c r="A82" s="4" t="inlineStr">
        <is>
          <t>UNI-078</t>
        </is>
      </c>
      <c r="B82" s="4" t="inlineStr">
        <is>
          <t>PLAYERA TIPO POLO P/CABALLERO AZUL REY XL</t>
        </is>
      </c>
      <c r="C82" s="4" t="inlineStr">
        <is>
          <t>Playera Polo Caballero</t>
        </is>
      </c>
      <c r="D82" s="4" t="inlineStr">
        <is>
          <t>XL</t>
        </is>
      </c>
      <c r="E82" s="4" t="n">
        <v>2</v>
      </c>
      <c r="F82" s="5" t="n">
        <v>140</v>
      </c>
      <c r="G82" s="4" t="n">
        <v>0</v>
      </c>
      <c r="H82" s="4" t="n">
        <v>2</v>
      </c>
      <c r="I82" s="4" t="n">
        <v>3</v>
      </c>
      <c r="J82" s="6">
        <f>IF(H82=0,"AGOTADO",IF(H82&lt;=I82,"BAJO","OK"))</f>
        <v/>
      </c>
      <c r="K82" s="5">
        <f>H82*F82</f>
        <v/>
      </c>
      <c r="L82" s="6" t="inlineStr">
        <is>
          <t>UNI-078</t>
        </is>
      </c>
    </row>
    <row r="83">
      <c r="A83" s="4" t="inlineStr">
        <is>
          <t>UNI-079</t>
        </is>
      </c>
      <c r="B83" s="4" t="inlineStr">
        <is>
          <t>PLAYERA TIPO POLO P/CABALLERO AZUL MARINO CH</t>
        </is>
      </c>
      <c r="C83" s="4" t="inlineStr">
        <is>
          <t>Playera Polo Caballero</t>
        </is>
      </c>
      <c r="D83" s="4" t="inlineStr">
        <is>
          <t>CH</t>
        </is>
      </c>
      <c r="E83" s="4" t="n">
        <v>11</v>
      </c>
      <c r="F83" s="5" t="n">
        <v>140</v>
      </c>
      <c r="G83" s="4" t="n">
        <v>1</v>
      </c>
      <c r="H83" s="4" t="n">
        <v>11</v>
      </c>
      <c r="I83" s="4" t="n">
        <v>3</v>
      </c>
      <c r="J83" s="6">
        <f>IF(H83=0,"AGOTADO",IF(H83&lt;=I83,"BAJO","OK"))</f>
        <v/>
      </c>
      <c r="K83" s="5">
        <f>H83*F83</f>
        <v/>
      </c>
      <c r="L83" s="6" t="inlineStr">
        <is>
          <t>UNI-079</t>
        </is>
      </c>
    </row>
    <row r="84">
      <c r="A84" s="4" t="inlineStr">
        <is>
          <t>UNI-080</t>
        </is>
      </c>
      <c r="B84" s="4" t="inlineStr">
        <is>
          <t>PLAYERA TIPO POLO P/CABALLERO AZUL MARINO M</t>
        </is>
      </c>
      <c r="C84" s="4" t="inlineStr">
        <is>
          <t>Playera Polo Caballero</t>
        </is>
      </c>
      <c r="D84" s="4" t="inlineStr">
        <is>
          <t>M</t>
        </is>
      </c>
      <c r="E84" s="4" t="n">
        <v>12</v>
      </c>
      <c r="F84" s="5" t="n">
        <v>140</v>
      </c>
      <c r="G84" s="4" t="n">
        <v>0</v>
      </c>
      <c r="H84" s="4" t="n">
        <v>12</v>
      </c>
      <c r="I84" s="4" t="n">
        <v>3</v>
      </c>
      <c r="J84" s="6">
        <f>IF(H84=0,"AGOTADO",IF(H84&lt;=I84,"BAJO","OK"))</f>
        <v/>
      </c>
      <c r="K84" s="5">
        <f>H84*F84</f>
        <v/>
      </c>
      <c r="L84" s="6" t="inlineStr">
        <is>
          <t>UNI-080</t>
        </is>
      </c>
    </row>
    <row r="85">
      <c r="A85" s="4" t="inlineStr">
        <is>
          <t>UNI-081</t>
        </is>
      </c>
      <c r="B85" s="4" t="inlineStr">
        <is>
          <t>PLAYERA TIPO POLO P/CABALLERO AZUL MARINO G</t>
        </is>
      </c>
      <c r="C85" s="4" t="inlineStr">
        <is>
          <t>Playera Polo Caballero</t>
        </is>
      </c>
      <c r="D85" s="4" t="inlineStr">
        <is>
          <t>G</t>
        </is>
      </c>
      <c r="E85" s="4" t="n">
        <v>5</v>
      </c>
      <c r="F85" s="5" t="n">
        <v>140</v>
      </c>
      <c r="G85" s="4" t="n">
        <v>0</v>
      </c>
      <c r="H85" s="4" t="n">
        <v>5</v>
      </c>
      <c r="I85" s="4" t="n">
        <v>3</v>
      </c>
      <c r="J85" s="6">
        <f>IF(H85=0,"AGOTADO",IF(H85&lt;=I85,"BAJO","OK"))</f>
        <v/>
      </c>
      <c r="K85" s="5">
        <f>H85*F85</f>
        <v/>
      </c>
      <c r="L85" s="6" t="inlineStr">
        <is>
          <t>UNI-081</t>
        </is>
      </c>
    </row>
    <row r="86">
      <c r="A86" s="4" t="inlineStr">
        <is>
          <t>UNI-082</t>
        </is>
      </c>
      <c r="B86" s="4" t="inlineStr">
        <is>
          <t>PLAYERA TIPO POLO P/CABALLERO AZUL MARINO XL</t>
        </is>
      </c>
      <c r="C86" s="4" t="inlineStr">
        <is>
          <t>Playera Polo Caballero</t>
        </is>
      </c>
      <c r="D86" s="4" t="inlineStr">
        <is>
          <t>XL</t>
        </is>
      </c>
      <c r="E86" s="4" t="n">
        <v>2</v>
      </c>
      <c r="F86" s="5" t="n">
        <v>140</v>
      </c>
      <c r="G86" s="4" t="n">
        <v>0</v>
      </c>
      <c r="H86" s="4" t="n">
        <v>2</v>
      </c>
      <c r="I86" s="4" t="n">
        <v>3</v>
      </c>
      <c r="J86" s="6">
        <f>IF(H86=0,"AGOTADO",IF(H86&lt;=I86,"BAJO","OK"))</f>
        <v/>
      </c>
      <c r="K86" s="5">
        <f>H86*F86</f>
        <v/>
      </c>
      <c r="L86" s="6" t="inlineStr">
        <is>
          <t>UNI-082</t>
        </is>
      </c>
    </row>
    <row r="87">
      <c r="A87" s="4" t="inlineStr">
        <is>
          <t>UNI-083</t>
        </is>
      </c>
      <c r="B87" s="4" t="inlineStr">
        <is>
          <t>ZAPATO DE SEGURIDAD # 22</t>
        </is>
      </c>
      <c r="C87" s="4" t="inlineStr">
        <is>
          <t>Zapato Seguridad</t>
        </is>
      </c>
      <c r="D87" s="4" t="inlineStr">
        <is>
          <t>22</t>
        </is>
      </c>
      <c r="E87" s="4" t="n">
        <v>13</v>
      </c>
      <c r="F87" s="5" t="n">
        <v>520</v>
      </c>
      <c r="G87" s="4" t="n">
        <v>0</v>
      </c>
      <c r="H87" s="4" t="n">
        <v>13</v>
      </c>
      <c r="I87" s="4" t="n">
        <v>5</v>
      </c>
      <c r="J87" s="6">
        <f>IF(H87=0,"AGOTADO",IF(H87&lt;=I87,"BAJO","OK"))</f>
        <v/>
      </c>
      <c r="K87" s="5">
        <f>H87*F87</f>
        <v/>
      </c>
      <c r="L87" s="6" t="inlineStr">
        <is>
          <t>UNI-083</t>
        </is>
      </c>
    </row>
    <row r="88">
      <c r="A88" s="4" t="inlineStr">
        <is>
          <t>UNI-084</t>
        </is>
      </c>
      <c r="B88" s="4" t="inlineStr">
        <is>
          <t>ZAPATO DE SEGURIDAD # 23</t>
        </is>
      </c>
      <c r="C88" s="4" t="inlineStr">
        <is>
          <t>Zapato Seguridad</t>
        </is>
      </c>
      <c r="D88" s="4" t="inlineStr">
        <is>
          <t>23</t>
        </is>
      </c>
      <c r="E88" s="4" t="n">
        <v>0</v>
      </c>
      <c r="F88" s="5" t="n">
        <v>520</v>
      </c>
      <c r="G88" s="4" t="n">
        <v>2</v>
      </c>
      <c r="H88" s="4" t="n">
        <v>0</v>
      </c>
      <c r="I88" s="4" t="n">
        <v>5</v>
      </c>
      <c r="J88" s="6">
        <f>IF(H88=0,"AGOTADO",IF(H88&lt;=I88,"BAJO","OK"))</f>
        <v/>
      </c>
      <c r="K88" s="5">
        <f>H88*F88</f>
        <v/>
      </c>
      <c r="L88" s="6" t="inlineStr">
        <is>
          <t>UNI-084</t>
        </is>
      </c>
    </row>
    <row r="89">
      <c r="A89" s="4" t="inlineStr">
        <is>
          <t>UNI-085</t>
        </is>
      </c>
      <c r="B89" s="4" t="inlineStr">
        <is>
          <t>ZAPATO DE SEGURIDAD # 24</t>
        </is>
      </c>
      <c r="C89" s="4" t="inlineStr">
        <is>
          <t>Zapato Seguridad</t>
        </is>
      </c>
      <c r="D89" s="4" t="inlineStr">
        <is>
          <t>24</t>
        </is>
      </c>
      <c r="E89" s="4" t="n">
        <v>8</v>
      </c>
      <c r="F89" s="5" t="n">
        <v>520</v>
      </c>
      <c r="G89" s="4" t="n">
        <v>2</v>
      </c>
      <c r="H89" s="4" t="n">
        <v>8</v>
      </c>
      <c r="I89" s="4" t="n">
        <v>5</v>
      </c>
      <c r="J89" s="6">
        <f>IF(H89=0,"AGOTADO",IF(H89&lt;=I89,"BAJO","OK"))</f>
        <v/>
      </c>
      <c r="K89" s="5">
        <f>H89*F89</f>
        <v/>
      </c>
      <c r="L89" s="6" t="inlineStr">
        <is>
          <t>UNI-085</t>
        </is>
      </c>
    </row>
    <row r="90">
      <c r="A90" s="4" t="inlineStr">
        <is>
          <t>UNI-086</t>
        </is>
      </c>
      <c r="B90" s="4" t="inlineStr">
        <is>
          <t>ZAPATO DE SEGURIDAD # 25</t>
        </is>
      </c>
      <c r="C90" s="4" t="inlineStr">
        <is>
          <t>Zapato Seguridad</t>
        </is>
      </c>
      <c r="D90" s="4" t="inlineStr">
        <is>
          <t>25</t>
        </is>
      </c>
      <c r="E90" s="4" t="n">
        <v>7</v>
      </c>
      <c r="F90" s="5" t="n">
        <v>520</v>
      </c>
      <c r="G90" s="4" t="n">
        <v>3</v>
      </c>
      <c r="H90" s="4" t="n">
        <v>7</v>
      </c>
      <c r="I90" s="4" t="n">
        <v>5</v>
      </c>
      <c r="J90" s="6">
        <f>IF(H90=0,"AGOTADO",IF(H90&lt;=I90,"BAJO","OK"))</f>
        <v/>
      </c>
      <c r="K90" s="5">
        <f>H90*F90</f>
        <v/>
      </c>
      <c r="L90" s="6" t="inlineStr">
        <is>
          <t>UNI-086</t>
        </is>
      </c>
    </row>
    <row r="91">
      <c r="A91" s="4" t="inlineStr">
        <is>
          <t>UNI-087</t>
        </is>
      </c>
      <c r="B91" s="4" t="inlineStr">
        <is>
          <t>ZAPATO DE SEGURIDAD # 26</t>
        </is>
      </c>
      <c r="C91" s="4" t="inlineStr">
        <is>
          <t>Zapato Seguridad</t>
        </is>
      </c>
      <c r="D91" s="4" t="inlineStr">
        <is>
          <t>26</t>
        </is>
      </c>
      <c r="E91" s="4" t="n">
        <v>27</v>
      </c>
      <c r="F91" s="5" t="n">
        <v>520</v>
      </c>
      <c r="G91" s="4" t="n">
        <v>0</v>
      </c>
      <c r="H91" s="4" t="n">
        <v>27</v>
      </c>
      <c r="I91" s="4" t="n">
        <v>5</v>
      </c>
      <c r="J91" s="6">
        <f>IF(H91=0,"AGOTADO",IF(H91&lt;=I91,"BAJO","OK"))</f>
        <v/>
      </c>
      <c r="K91" s="5">
        <f>H91*F91</f>
        <v/>
      </c>
      <c r="L91" s="6" t="inlineStr">
        <is>
          <t>UNI-087</t>
        </is>
      </c>
    </row>
    <row r="92">
      <c r="A92" s="4" t="inlineStr">
        <is>
          <t>UNI-088</t>
        </is>
      </c>
      <c r="B92" s="4" t="inlineStr">
        <is>
          <t>ZAPATO DE SEGURIDAD # 27</t>
        </is>
      </c>
      <c r="C92" s="4" t="inlineStr">
        <is>
          <t>Zapato Seguridad</t>
        </is>
      </c>
      <c r="D92" s="4" t="inlineStr">
        <is>
          <t>27</t>
        </is>
      </c>
      <c r="E92" s="4" t="n">
        <v>24</v>
      </c>
      <c r="F92" s="5" t="n">
        <v>520</v>
      </c>
      <c r="G92" s="4" t="n">
        <v>0</v>
      </c>
      <c r="H92" s="4" t="n">
        <v>24</v>
      </c>
      <c r="I92" s="4" t="n">
        <v>5</v>
      </c>
      <c r="J92" s="6">
        <f>IF(H92=0,"AGOTADO",IF(H92&lt;=I92,"BAJO","OK"))</f>
        <v/>
      </c>
      <c r="K92" s="5">
        <f>H92*F92</f>
        <v/>
      </c>
      <c r="L92" s="6" t="inlineStr">
        <is>
          <t>UNI-088</t>
        </is>
      </c>
    </row>
    <row r="93">
      <c r="A93" s="4" t="inlineStr">
        <is>
          <t>UNI-089</t>
        </is>
      </c>
      <c r="B93" s="4" t="inlineStr">
        <is>
          <t>ZAPATO DE SEGURIDAD # 28</t>
        </is>
      </c>
      <c r="C93" s="4" t="inlineStr">
        <is>
          <t>Zapato Seguridad</t>
        </is>
      </c>
      <c r="D93" s="4" t="inlineStr">
        <is>
          <t>28</t>
        </is>
      </c>
      <c r="E93" s="4" t="n">
        <v>19</v>
      </c>
      <c r="F93" s="5" t="n">
        <v>520</v>
      </c>
      <c r="G93" s="4" t="n">
        <v>1</v>
      </c>
      <c r="H93" s="4" t="n">
        <v>19</v>
      </c>
      <c r="I93" s="4" t="n">
        <v>5</v>
      </c>
      <c r="J93" s="6">
        <f>IF(H93=0,"AGOTADO",IF(H93&lt;=I93,"BAJO","OK"))</f>
        <v/>
      </c>
      <c r="K93" s="5">
        <f>H93*F93</f>
        <v/>
      </c>
      <c r="L93" s="6" t="inlineStr">
        <is>
          <t>UNI-089</t>
        </is>
      </c>
    </row>
    <row r="94">
      <c r="A94" s="4" t="inlineStr">
        <is>
          <t>UNI-090</t>
        </is>
      </c>
      <c r="B94" s="4" t="inlineStr">
        <is>
          <t>ZAPATO DE SEGURIDAD # 29</t>
        </is>
      </c>
      <c r="C94" s="4" t="inlineStr">
        <is>
          <t>Zapato Seguridad</t>
        </is>
      </c>
      <c r="D94" s="4" t="inlineStr">
        <is>
          <t>29</t>
        </is>
      </c>
      <c r="E94" s="4" t="n">
        <v>21</v>
      </c>
      <c r="F94" s="5" t="n">
        <v>520</v>
      </c>
      <c r="G94" s="4" t="n">
        <v>0</v>
      </c>
      <c r="H94" s="4" t="n">
        <v>21</v>
      </c>
      <c r="I94" s="4" t="n">
        <v>5</v>
      </c>
      <c r="J94" s="6">
        <f>IF(H94=0,"AGOTADO",IF(H94&lt;=I94,"BAJO","OK"))</f>
        <v/>
      </c>
      <c r="K94" s="5">
        <f>H94*F94</f>
        <v/>
      </c>
      <c r="L94" s="6" t="inlineStr">
        <is>
          <t>UNI-090</t>
        </is>
      </c>
    </row>
    <row r="95">
      <c r="A95" s="4" t="inlineStr">
        <is>
          <t>UNI-091</t>
        </is>
      </c>
      <c r="B95" s="4" t="inlineStr">
        <is>
          <t>ZAPATO DE SEGURIDAD # 30</t>
        </is>
      </c>
      <c r="C95" s="4" t="inlineStr">
        <is>
          <t>Zapato Seguridad</t>
        </is>
      </c>
      <c r="D95" s="4" t="inlineStr">
        <is>
          <t>30</t>
        </is>
      </c>
      <c r="E95" s="4" t="n">
        <v>6</v>
      </c>
      <c r="F95" s="5" t="n">
        <v>520</v>
      </c>
      <c r="G95" s="4" t="n">
        <v>0</v>
      </c>
      <c r="H95" s="4" t="n">
        <v>6</v>
      </c>
      <c r="I95" s="4" t="n">
        <v>5</v>
      </c>
      <c r="J95" s="6">
        <f>IF(H95=0,"AGOTADO",IF(H95&lt;=I95,"BAJO","OK"))</f>
        <v/>
      </c>
      <c r="K95" s="5">
        <f>H95*F95</f>
        <v/>
      </c>
      <c r="L95" s="6" t="inlineStr">
        <is>
          <t>UNI-091</t>
        </is>
      </c>
    </row>
    <row r="96">
      <c r="A96" s="4" t="inlineStr">
        <is>
          <t>UNI-092</t>
        </is>
      </c>
      <c r="B96" s="4" t="inlineStr">
        <is>
          <t>ZAPATO DE SEGURIDAD # 31</t>
        </is>
      </c>
      <c r="C96" s="4" t="inlineStr">
        <is>
          <t>Zapato Seguridad</t>
        </is>
      </c>
      <c r="D96" s="4" t="inlineStr">
        <is>
          <t>31</t>
        </is>
      </c>
      <c r="E96" s="4" t="n">
        <v>4</v>
      </c>
      <c r="F96" s="5" t="n">
        <v>520</v>
      </c>
      <c r="G96" s="4" t="n">
        <v>0</v>
      </c>
      <c r="H96" s="4" t="n">
        <v>4</v>
      </c>
      <c r="I96" s="4" t="n">
        <v>5</v>
      </c>
      <c r="J96" s="6">
        <f>IF(H96=0,"AGOTADO",IF(H96&lt;=I96,"BAJO","OK"))</f>
        <v/>
      </c>
      <c r="K96" s="5">
        <f>H96*F96</f>
        <v/>
      </c>
      <c r="L96" s="6" t="inlineStr">
        <is>
          <t>UNI-092</t>
        </is>
      </c>
    </row>
    <row r="97">
      <c r="A97" s="4" t="inlineStr">
        <is>
          <t>UNI-093</t>
        </is>
      </c>
      <c r="B97" s="4" t="inlineStr">
        <is>
          <t>ZAPATO DE SEGURIDAD # 32</t>
        </is>
      </c>
      <c r="C97" s="4" t="inlineStr">
        <is>
          <t>Zapato Seguridad</t>
        </is>
      </c>
      <c r="D97" s="4" t="inlineStr">
        <is>
          <t>32</t>
        </is>
      </c>
      <c r="E97" s="4" t="n">
        <v>2</v>
      </c>
      <c r="F97" s="5" t="n">
        <v>520</v>
      </c>
      <c r="G97" s="4" t="n">
        <v>0</v>
      </c>
      <c r="H97" s="4" t="n">
        <v>2</v>
      </c>
      <c r="I97" s="4" t="n">
        <v>5</v>
      </c>
      <c r="J97" s="6">
        <f>IF(H97=0,"AGOTADO",IF(H97&lt;=I97,"BAJO","OK"))</f>
        <v/>
      </c>
      <c r="K97" s="5">
        <f>H97*F97</f>
        <v/>
      </c>
      <c r="L97" s="6" t="inlineStr">
        <is>
          <t>UNI-093</t>
        </is>
      </c>
    </row>
    <row r="98">
      <c r="A98" s="7" t="inlineStr">
        <is>
          <t>TOTALES</t>
        </is>
      </c>
      <c r="B98" s="8" t="n"/>
      <c r="C98" s="8" t="n"/>
      <c r="D98" s="8" t="n"/>
      <c r="E98" s="8" t="n"/>
      <c r="F98" s="8" t="n"/>
      <c r="G98" s="8" t="n"/>
      <c r="H98" s="8">
        <f>SUM(H5:H97)</f>
        <v/>
      </c>
      <c r="I98" s="8" t="n"/>
      <c r="J98" s="8" t="n"/>
      <c r="K98" s="9">
        <f>SUM(K5:K97)</f>
        <v/>
      </c>
      <c r="L98" s="8" t="n"/>
    </row>
    <row r="100">
      <c r="A100" s="10" t="inlineStr">
        <is>
          <t>LEYENDA DE COLORES:</t>
        </is>
      </c>
    </row>
    <row r="101">
      <c r="A101" s="11" t="inlineStr">
        <is>
          <t>AGOTADO (0 unidades)</t>
        </is>
      </c>
      <c r="B101" t="inlineStr">
        <is>
          <t>Reponer urgentemente</t>
        </is>
      </c>
    </row>
    <row r="102">
      <c r="A102" s="12" t="inlineStr">
        <is>
          <t>BAJO (≤ Stock Mínimo)</t>
        </is>
      </c>
      <c r="B102" t="inlineStr">
        <is>
          <t>Próximo a agotarse - considerar pedido</t>
        </is>
      </c>
    </row>
    <row r="103">
      <c r="A103" s="13" t="inlineStr">
        <is>
          <t>OK (&gt; Stock Mínimo)</t>
        </is>
      </c>
      <c r="B103" t="inlineStr">
        <is>
          <t>Stock saludable</t>
        </is>
      </c>
    </row>
  </sheetData>
  <autoFilter ref="A4:L97"/>
  <mergeCells count="3">
    <mergeCell ref="A98:G98"/>
    <mergeCell ref="A2:L2"/>
    <mergeCell ref="A1:L1"/>
  </mergeCells>
  <conditionalFormatting sqref="J5:J97">
    <cfRule type="expression" priority="1" dxfId="0">
      <formula>$J5="AGOTADO"</formula>
    </cfRule>
    <cfRule type="expression" priority="2" dxfId="1">
      <formula>$J5="BAJO"</formula>
    </cfRule>
    <cfRule type="expression" priority="3" dxfId="2">
      <formula>$J5="OK"</formula>
    </cfRule>
  </conditionalFormatting>
  <conditionalFormatting sqref="H5:H97">
    <cfRule type="expression" priority="4" dxfId="3">
      <formula>$H5=0</formula>
    </cfRule>
    <cfRule type="expression" priority="5" dxfId="4">
      <formula>AND($H5&gt;0,$H5&lt;=$I5)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5" customWidth="1" min="4" max="4"/>
    <col width="16" customWidth="1" min="5" max="5"/>
    <col width="10" customWidth="1" min="6" max="6"/>
    <col width="25" customWidth="1" min="7" max="7"/>
    <col width="20" customWidth="1" min="8" max="8"/>
    <col width="30" customWidth="1" min="9" max="9"/>
    <col width="18" customWidth="1" min="10" max="10"/>
  </cols>
  <sheetData>
    <row r="1" ht="28" customHeight="1">
      <c r="A1" s="14" t="inlineStr">
        <is>
          <t>REGISTRO DE MOVIMIENTOS / ENTREGAS DE UNIFORMES</t>
        </is>
      </c>
    </row>
    <row r="2">
      <c r="A2" s="15" t="inlineStr">
        <is>
          <t>Registra aquí cada entrega o devolución. Al registrar una SALIDA, actualiza manualmente la Existencia Actual en la hoja Inventario (o usa la columna de control).</t>
        </is>
      </c>
    </row>
    <row r="4" ht="32" customHeight="1">
      <c r="A4" s="3" t="inlineStr">
        <is>
          <t>ID Movimiento</t>
        </is>
      </c>
      <c r="B4" s="3" t="inlineStr">
        <is>
          <t>Fecha</t>
        </is>
      </c>
      <c r="C4" s="3" t="inlineStr">
        <is>
          <t>Código Artículo</t>
        </is>
      </c>
      <c r="D4" s="3" t="inlineStr">
        <is>
          <t>Descripción</t>
        </is>
      </c>
      <c r="E4" s="3" t="inlineStr">
        <is>
          <t>Tipo (Salida/Entrada)</t>
        </is>
      </c>
      <c r="F4" s="3" t="inlineStr">
        <is>
          <t>Cantidad</t>
        </is>
      </c>
      <c r="G4" s="3" t="inlineStr">
        <is>
          <t>Colaborador / Quién</t>
        </is>
      </c>
      <c r="H4" s="3" t="inlineStr">
        <is>
          <t>Área / Departamento</t>
        </is>
      </c>
      <c r="I4" s="3" t="inlineStr">
        <is>
          <t>Observaciones</t>
        </is>
      </c>
      <c r="J4" s="3" t="inlineStr">
        <is>
          <t>Registrado por</t>
        </is>
      </c>
    </row>
    <row r="5">
      <c r="A5" s="4">
        <f>IF(B5="","",CONCATENATE("MOV-",TEXT(B5,"YYYYMMDD"),"-",TEXT(ROW()-4,"000")))</f>
        <v/>
      </c>
      <c r="B5" s="16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>
        <f>IF(B6="","",CONCATENATE("MOV-",TEXT(B6,"YYYYMMDD"),"-",TEXT(ROW()-4,"000")))</f>
        <v/>
      </c>
      <c r="B6" s="16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>
        <f>IF(B7="","",CONCATENATE("MOV-",TEXT(B7,"YYYYMMDD"),"-",TEXT(ROW()-4,"000")))</f>
        <v/>
      </c>
      <c r="B7" s="16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>
        <f>IF(B8="","",CONCATENATE("MOV-",TEXT(B8,"YYYYMMDD"),"-",TEXT(ROW()-4,"000")))</f>
        <v/>
      </c>
      <c r="B8" s="16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>
        <f>IF(B9="","",CONCATENATE("MOV-",TEXT(B9,"YYYYMMDD"),"-",TEXT(ROW()-4,"000")))</f>
        <v/>
      </c>
      <c r="B9" s="16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>
        <f>IF(B10="","",CONCATENATE("MOV-",TEXT(B10,"YYYYMMDD"),"-",TEXT(ROW()-4,"000")))</f>
        <v/>
      </c>
      <c r="B10" s="16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>
        <f>IF(B11="","",CONCATENATE("MOV-",TEXT(B11,"YYYYMMDD"),"-",TEXT(ROW()-4,"000")))</f>
        <v/>
      </c>
      <c r="B11" s="16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>
        <f>IF(B12="","",CONCATENATE("MOV-",TEXT(B12,"YYYYMMDD"),"-",TEXT(ROW()-4,"000")))</f>
        <v/>
      </c>
      <c r="B12" s="16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>
        <f>IF(B13="","",CONCATENATE("MOV-",TEXT(B13,"YYYYMMDD"),"-",TEXT(ROW()-4,"000")))</f>
        <v/>
      </c>
      <c r="B13" s="16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>
        <f>IF(B14="","",CONCATENATE("MOV-",TEXT(B14,"YYYYMMDD"),"-",TEXT(ROW()-4,"000")))</f>
        <v/>
      </c>
      <c r="B14" s="16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>
        <f>IF(B15="","",CONCATENATE("MOV-",TEXT(B15,"YYYYMMDD"),"-",TEXT(ROW()-4,"000")))</f>
        <v/>
      </c>
      <c r="B15" s="16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>
        <f>IF(B16="","",CONCATENATE("MOV-",TEXT(B16,"YYYYMMDD"),"-",TEXT(ROW()-4,"000")))</f>
        <v/>
      </c>
      <c r="B16" s="16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>
        <f>IF(B17="","",CONCATENATE("MOV-",TEXT(B17,"YYYYMMDD"),"-",TEXT(ROW()-4,"000")))</f>
        <v/>
      </c>
      <c r="B17" s="16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>
        <f>IF(B18="","",CONCATENATE("MOV-",TEXT(B18,"YYYYMMDD"),"-",TEXT(ROW()-4,"000")))</f>
        <v/>
      </c>
      <c r="B18" s="16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>
        <f>IF(B19="","",CONCATENATE("MOV-",TEXT(B19,"YYYYMMDD"),"-",TEXT(ROW()-4,"000")))</f>
        <v/>
      </c>
      <c r="B19" s="16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>
        <f>IF(B20="","",CONCATENATE("MOV-",TEXT(B20,"YYYYMMDD"),"-",TEXT(ROW()-4,"000")))</f>
        <v/>
      </c>
      <c r="B20" s="16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>
        <f>IF(B21="","",CONCATENATE("MOV-",TEXT(B21,"YYYYMMDD"),"-",TEXT(ROW()-4,"000")))</f>
        <v/>
      </c>
      <c r="B21" s="16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>
        <f>IF(B22="","",CONCATENATE("MOV-",TEXT(B22,"YYYYMMDD"),"-",TEXT(ROW()-4,"000")))</f>
        <v/>
      </c>
      <c r="B22" s="16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>
        <f>IF(B23="","",CONCATENATE("MOV-",TEXT(B23,"YYYYMMDD"),"-",TEXT(ROW()-4,"000")))</f>
        <v/>
      </c>
      <c r="B23" s="16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>
        <f>IF(B24="","",CONCATENATE("MOV-",TEXT(B24,"YYYYMMDD"),"-",TEXT(ROW()-4,"000")))</f>
        <v/>
      </c>
      <c r="B24" s="16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>
        <f>IF(B25="","",CONCATENATE("MOV-",TEXT(B25,"YYYYMMDD"),"-",TEXT(ROW()-4,"000")))</f>
        <v/>
      </c>
      <c r="B25" s="16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>
        <f>IF(B26="","",CONCATENATE("MOV-",TEXT(B26,"YYYYMMDD"),"-",TEXT(ROW()-4,"000")))</f>
        <v/>
      </c>
      <c r="B26" s="16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>
        <f>IF(B27="","",CONCATENATE("MOV-",TEXT(B27,"YYYYMMDD"),"-",TEXT(ROW()-4,"000")))</f>
        <v/>
      </c>
      <c r="B27" s="16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>
        <f>IF(B28="","",CONCATENATE("MOV-",TEXT(B28,"YYYYMMDD"),"-",TEXT(ROW()-4,"000")))</f>
        <v/>
      </c>
      <c r="B28" s="16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>
        <f>IF(B29="","",CONCATENATE("MOV-",TEXT(B29,"YYYYMMDD"),"-",TEXT(ROW()-4,"000")))</f>
        <v/>
      </c>
      <c r="B29" s="16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>
        <f>IF(B30="","",CONCATENATE("MOV-",TEXT(B30,"YYYYMMDD"),"-",TEXT(ROW()-4,"000")))</f>
        <v/>
      </c>
      <c r="B30" s="16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>
        <f>IF(B31="","",CONCATENATE("MOV-",TEXT(B31,"YYYYMMDD"),"-",TEXT(ROW()-4,"000")))</f>
        <v/>
      </c>
      <c r="B31" s="16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>
        <f>IF(B32="","",CONCATENATE("MOV-",TEXT(B32,"YYYYMMDD"),"-",TEXT(ROW()-4,"000")))</f>
        <v/>
      </c>
      <c r="B32" s="16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>
        <f>IF(B33="","",CONCATENATE("MOV-",TEXT(B33,"YYYYMMDD"),"-",TEXT(ROW()-4,"000")))</f>
        <v/>
      </c>
      <c r="B33" s="16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>
        <f>IF(B34="","",CONCATENATE("MOV-",TEXT(B34,"YYYYMMDD"),"-",TEXT(ROW()-4,"000")))</f>
        <v/>
      </c>
      <c r="B34" s="16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>
        <f>IF(B35="","",CONCATENATE("MOV-",TEXT(B35,"YYYYMMDD"),"-",TEXT(ROW()-4,"000")))</f>
        <v/>
      </c>
      <c r="B35" s="16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>
        <f>IF(B36="","",CONCATENATE("MOV-",TEXT(B36,"YYYYMMDD"),"-",TEXT(ROW()-4,"000")))</f>
        <v/>
      </c>
      <c r="B36" s="16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>
        <f>IF(B37="","",CONCATENATE("MOV-",TEXT(B37,"YYYYMMDD"),"-",TEXT(ROW()-4,"000")))</f>
        <v/>
      </c>
      <c r="B37" s="16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>
        <f>IF(B38="","",CONCATENATE("MOV-",TEXT(B38,"YYYYMMDD"),"-",TEXT(ROW()-4,"000")))</f>
        <v/>
      </c>
      <c r="B38" s="16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>
        <f>IF(B39="","",CONCATENATE("MOV-",TEXT(B39,"YYYYMMDD"),"-",TEXT(ROW()-4,"000")))</f>
        <v/>
      </c>
      <c r="B39" s="16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>
        <f>IF(B40="","",CONCATENATE("MOV-",TEXT(B40,"YYYYMMDD"),"-",TEXT(ROW()-4,"000")))</f>
        <v/>
      </c>
      <c r="B40" s="16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>
        <f>IF(B41="","",CONCATENATE("MOV-",TEXT(B41,"YYYYMMDD"),"-",TEXT(ROW()-4,"000")))</f>
        <v/>
      </c>
      <c r="B41" s="16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>
        <f>IF(B42="","",CONCATENATE("MOV-",TEXT(B42,"YYYYMMDD"),"-",TEXT(ROW()-4,"000")))</f>
        <v/>
      </c>
      <c r="B42" s="16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>
        <f>IF(B43="","",CONCATENATE("MOV-",TEXT(B43,"YYYYMMDD"),"-",TEXT(ROW()-4,"000")))</f>
        <v/>
      </c>
      <c r="B43" s="16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>
        <f>IF(B44="","",CONCATENATE("MOV-",TEXT(B44,"YYYYMMDD"),"-",TEXT(ROW()-4,"000")))</f>
        <v/>
      </c>
      <c r="B44" s="16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>
        <f>IF(B45="","",CONCATENATE("MOV-",TEXT(B45,"YYYYMMDD"),"-",TEXT(ROW()-4,"000")))</f>
        <v/>
      </c>
      <c r="B45" s="16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>
        <f>IF(B46="","",CONCATENATE("MOV-",TEXT(B46,"YYYYMMDD"),"-",TEXT(ROW()-4,"000")))</f>
        <v/>
      </c>
      <c r="B46" s="16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>
        <f>IF(B47="","",CONCATENATE("MOV-",TEXT(B47,"YYYYMMDD"),"-",TEXT(ROW()-4,"000")))</f>
        <v/>
      </c>
      <c r="B47" s="16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>
        <f>IF(B48="","",CONCATENATE("MOV-",TEXT(B48,"YYYYMMDD"),"-",TEXT(ROW()-4,"000")))</f>
        <v/>
      </c>
      <c r="B48" s="16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>
        <f>IF(B49="","",CONCATENATE("MOV-",TEXT(B49,"YYYYMMDD"),"-",TEXT(ROW()-4,"000")))</f>
        <v/>
      </c>
      <c r="B49" s="16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>
        <f>IF(B50="","",CONCATENATE("MOV-",TEXT(B50,"YYYYMMDD"),"-",TEXT(ROW()-4,"000")))</f>
        <v/>
      </c>
      <c r="B50" s="16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>
        <f>IF(B51="","",CONCATENATE("MOV-",TEXT(B51,"YYYYMMDD"),"-",TEXT(ROW()-4,"000")))</f>
        <v/>
      </c>
      <c r="B51" s="16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>
        <f>IF(B52="","",CONCATENATE("MOV-",TEXT(B52,"YYYYMMDD"),"-",TEXT(ROW()-4,"000")))</f>
        <v/>
      </c>
      <c r="B52" s="16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>
        <f>IF(B53="","",CONCATENATE("MOV-",TEXT(B53,"YYYYMMDD"),"-",TEXT(ROW()-4,"000")))</f>
        <v/>
      </c>
      <c r="B53" s="16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>
        <f>IF(B54="","",CONCATENATE("MOV-",TEXT(B54,"YYYYMMDD"),"-",TEXT(ROW()-4,"000")))</f>
        <v/>
      </c>
      <c r="B54" s="16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6">
      <c r="A56" s="17" t="inlineStr">
        <is>
          <t>INSTRUCCIONES DE USO:</t>
        </is>
      </c>
    </row>
    <row r="57">
      <c r="A57" t="inlineStr">
        <is>
          <t>1. Cada vez que se entregue un uniforme a un colaborador, registra la SALIDA aquí con fecha, código del artículo, cantidad, nombre del colaborador y área.</t>
        </is>
      </c>
    </row>
    <row r="58">
      <c r="A58" t="inlineStr">
        <is>
          <t>2. Después de registrar, ve a la hoja 'Inventario' y resta la cantidad de la columna 'Existencia Actual' del artículo correspondiente.</t>
        </is>
      </c>
    </row>
    <row r="59">
      <c r="A59" t="inlineStr">
        <is>
          <t>3. Si hay devolución o entrada de mercancía nueva, registra como ENTRADA y suma a la existencia.</t>
        </is>
      </c>
    </row>
    <row r="60">
      <c r="A60" t="inlineStr">
        <is>
          <t>4. El código de artículo (ej. UNI-001) está en la hoja Inventario. Usa el filtro o busca por descripción.</t>
        </is>
      </c>
    </row>
    <row r="61">
      <c r="A61" t="inlineStr">
        <is>
          <t>5. Puedes agregar más filas según necesites. El formato condicional de la hoja Inventario te avisará en ROJO cuando el stock esté bajo o agotado.</t>
        </is>
      </c>
    </row>
  </sheetData>
  <mergeCells count="2">
    <mergeCell ref="A1:J1"/>
    <mergeCell ref="A2:J2"/>
  </mergeCells>
  <dataValidations count="1">
    <dataValidation sqref="E5:E100" showDropDown="0" showInputMessage="0" showErrorMessage="0" allowBlank="1" errorTitle="Tipo inválido" error="Selecciona Salida, Entrada o Ajuste" type="list">
      <formula1>"Salida,Entrada,Ajuste"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4" t="inlineStr">
        <is>
          <t>RESUMEN DE INVENTARIO - CESANTONI</t>
        </is>
      </c>
    </row>
    <row r="3">
      <c r="A3" s="18" t="inlineStr">
        <is>
          <t>Indicadores clave</t>
        </is>
      </c>
    </row>
    <row r="4">
      <c r="A4" s="19" t="inlineStr">
        <is>
          <t>Total de SKUs (artículos):</t>
        </is>
      </c>
      <c r="B4" s="17">
        <f>COUNTA(Inventario!A5:A97)</f>
        <v/>
      </c>
    </row>
    <row r="5">
      <c r="A5" s="19" t="inlineStr">
        <is>
          <t>Artículos con stock OK:</t>
        </is>
      </c>
      <c r="B5" s="17">
        <f>COUNTIF(Inventario!J5:J97,"OK")</f>
        <v/>
      </c>
    </row>
    <row r="6">
      <c r="A6" s="20" t="inlineStr">
        <is>
          <t>Artículos con stock BAJO:</t>
        </is>
      </c>
      <c r="B6" s="21">
        <f>COUNTIF(Inventario!J5:J97,"BAJO")</f>
        <v/>
      </c>
    </row>
    <row r="7">
      <c r="A7" s="22" t="inlineStr">
        <is>
          <t>Artículos AGOTADOS:</t>
        </is>
      </c>
      <c r="B7" s="23">
        <f>COUNTIF(Inventario!J5:J97,"AGOTADO")</f>
        <v/>
      </c>
    </row>
    <row r="8">
      <c r="A8" s="19" t="inlineStr">
        <is>
          <t>Valor total del inventario:</t>
        </is>
      </c>
      <c r="B8" s="24">
        <f>Inventario!K98</f>
        <v/>
      </c>
    </row>
    <row r="9">
      <c r="A9" s="19" t="inlineStr">
        <is>
          <t>Unidades totales en existencia:</t>
        </is>
      </c>
      <c r="B9" s="17">
        <f>Inventario!H98</f>
        <v/>
      </c>
    </row>
    <row r="11">
      <c r="A11" s="18" t="inlineStr">
        <is>
          <t>Artículos que requieren atención (BAJO o AGOTADO)</t>
        </is>
      </c>
    </row>
    <row r="12">
      <c r="A12" s="25" t="inlineStr">
        <is>
          <t>Código</t>
        </is>
      </c>
      <c r="B12" s="25" t="inlineStr">
        <is>
          <t>Descripción</t>
        </is>
      </c>
      <c r="C12" s="25" t="inlineStr">
        <is>
          <t>Existencia</t>
        </is>
      </c>
      <c r="D12" s="25" t="inlineStr">
        <is>
          <t>Stock Mín</t>
        </is>
      </c>
      <c r="E12" s="25" t="inlineStr">
        <is>
          <t>Estado</t>
        </is>
      </c>
    </row>
    <row r="13">
      <c r="A13" s="26" t="inlineStr">
        <is>
          <t>(Usa el filtro en la hoja Inventario → columna Estado → selecciona BAJO y AGOTADO para ver la lista completa)</t>
        </is>
      </c>
    </row>
    <row r="15">
      <c r="A15" s="10" t="inlineStr">
        <is>
          <t>RECOMENDACIONES DE STOCK MÍNIMO:</t>
        </is>
      </c>
    </row>
    <row r="16">
      <c r="A16" t="inlineStr">
        <is>
          <t>• Zapatos de seguridad: mínimo 5 pares por talla</t>
        </is>
      </c>
    </row>
    <row r="17">
      <c r="A17" t="inlineStr">
        <is>
          <t>• Playeras / Polos: mínimo 3 por talla</t>
        </is>
      </c>
    </row>
    <row r="18">
      <c r="A18" t="inlineStr">
        <is>
          <t>• Camisas, blusas y pantalones: mínimo 3 por talla</t>
        </is>
      </c>
    </row>
    <row r="19">
      <c r="A19" t="inlineStr">
        <is>
          <t>Puedes ajustar el 'Stock Mínimo' en la hoja Inventario según tu experiencia de consumo.</t>
        </is>
      </c>
    </row>
    <row r="21">
      <c r="A21" s="10" t="inlineStr">
        <is>
          <t>SOBRE LOS CÓDIGOS QR:</t>
        </is>
      </c>
    </row>
    <row r="22">
      <c r="A22" t="inlineStr">
        <is>
          <t>Cada artículo tiene un Código único (UNI-001, UNI-002, ...). Puedes generar códigos QR con ese texto</t>
        </is>
      </c>
    </row>
    <row r="23">
      <c r="A23" t="inlineStr">
        <is>
          <t>usando cualquier generador gratuito (ej. qr-code-generator.com) o apps móviles. Al escanear,</t>
        </is>
      </c>
    </row>
    <row r="24">
      <c r="A24" t="inlineStr">
        <is>
          <t>el código te llevará al identificador del artículo para facilitar el registro de salidas.</t>
        </is>
      </c>
    </row>
    <row r="25">
      <c r="A25" t="inlineStr">
        <is>
          <t>Si deseas, en una siguiente versión se pueden incrustar imágenes QR directamente en el Excel.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8" customWidth="1" min="3" max="3"/>
    <col width="16" customWidth="1" min="4" max="4"/>
  </cols>
  <sheetData>
    <row r="1">
      <c r="A1" s="27" t="inlineStr">
        <is>
          <t>CATÁLOGO RÁPIDO - CÓDIGOS DE ARTÍCULOS</t>
        </is>
      </c>
    </row>
    <row r="3">
      <c r="A3" s="25" t="inlineStr">
        <is>
          <t>Código</t>
        </is>
      </c>
      <c r="B3" s="25" t="inlineStr">
        <is>
          <t>Descripción</t>
        </is>
      </c>
      <c r="C3" s="25" t="inlineStr">
        <is>
          <t>Categoría</t>
        </is>
      </c>
      <c r="D3" s="25" t="inlineStr">
        <is>
          <t>Existencia Actual</t>
        </is>
      </c>
    </row>
    <row r="4">
      <c r="A4" s="4" t="inlineStr">
        <is>
          <t>UNI-001</t>
        </is>
      </c>
      <c r="B4" s="4" t="inlineStr">
        <is>
          <t>BLUSA P/DAMA M. LARGA OXFORD CELESTE #32</t>
        </is>
      </c>
      <c r="C4" s="4" t="inlineStr">
        <is>
          <t>Blusa Dama</t>
        </is>
      </c>
      <c r="D4" s="4" t="n">
        <v>2</v>
      </c>
    </row>
    <row r="5">
      <c r="A5" s="4" t="inlineStr">
        <is>
          <t>UNI-002</t>
        </is>
      </c>
      <c r="B5" s="4" t="inlineStr">
        <is>
          <t>BLUSA P/DAMA M. LARGA OXFORD CELESTE #34</t>
        </is>
      </c>
      <c r="C5" s="4" t="inlineStr">
        <is>
          <t>Blusa Dama</t>
        </is>
      </c>
      <c r="D5" s="4" t="n">
        <v>4</v>
      </c>
    </row>
    <row r="6">
      <c r="A6" s="4" t="inlineStr">
        <is>
          <t>UNI-003</t>
        </is>
      </c>
      <c r="B6" s="4" t="inlineStr">
        <is>
          <t>BLUSA P/DAMA M. LARGA OXFORD CELESTE #36</t>
        </is>
      </c>
      <c r="C6" s="4" t="inlineStr">
        <is>
          <t>Blusa Dama</t>
        </is>
      </c>
      <c r="D6" s="4" t="n">
        <v>4</v>
      </c>
    </row>
    <row r="7">
      <c r="A7" s="4" t="inlineStr">
        <is>
          <t>UNI-004</t>
        </is>
      </c>
      <c r="B7" s="4" t="inlineStr">
        <is>
          <t>BLUSA P/DAMA M. LARGA OXFORD CELESTE #38</t>
        </is>
      </c>
      <c r="C7" s="4" t="inlineStr">
        <is>
          <t>Blusa Dama</t>
        </is>
      </c>
      <c r="D7" s="4" t="n">
        <v>3</v>
      </c>
    </row>
    <row r="8">
      <c r="A8" s="4" t="inlineStr">
        <is>
          <t>UNI-005</t>
        </is>
      </c>
      <c r="B8" s="4" t="inlineStr">
        <is>
          <t>BLUSA DAMA M. LARGA OXFORD CELESTE #40</t>
        </is>
      </c>
      <c r="C8" s="4" t="inlineStr">
        <is>
          <t>Blusa Dama</t>
        </is>
      </c>
      <c r="D8" s="4" t="n">
        <v>1</v>
      </c>
    </row>
    <row r="9">
      <c r="A9" s="4" t="inlineStr">
        <is>
          <t>UNI-006</t>
        </is>
      </c>
      <c r="B9" s="4" t="inlineStr">
        <is>
          <t>BLUSA P/DAMA M. LARGA OXFORD CELESTE #42</t>
        </is>
      </c>
      <c r="C9" s="4" t="inlineStr">
        <is>
          <t>Blusa Dama</t>
        </is>
      </c>
      <c r="D9" s="4" t="n">
        <v>1</v>
      </c>
    </row>
    <row r="10">
      <c r="A10" s="4" t="inlineStr">
        <is>
          <t>UNI-007</t>
        </is>
      </c>
      <c r="B10" s="4" t="inlineStr">
        <is>
          <t>BLUSA DAMA M. LARGA OXFORD CELESTE #44</t>
        </is>
      </c>
      <c r="C10" s="4" t="inlineStr">
        <is>
          <t>Blusa Dama</t>
        </is>
      </c>
      <c r="D10" s="4" t="n">
        <v>2</v>
      </c>
    </row>
    <row r="11">
      <c r="A11" s="4" t="inlineStr">
        <is>
          <t>UNI-008</t>
        </is>
      </c>
      <c r="B11" s="4" t="inlineStr">
        <is>
          <t>BLUSA P/DAMA M. LARGA OXFORD CELESTE #46</t>
        </is>
      </c>
      <c r="C11" s="4" t="inlineStr">
        <is>
          <t>Blusa Dama</t>
        </is>
      </c>
      <c r="D11" s="4" t="n">
        <v>1</v>
      </c>
    </row>
    <row r="12">
      <c r="A12" s="4" t="inlineStr">
        <is>
          <t>UNI-009</t>
        </is>
      </c>
      <c r="B12" s="4" t="inlineStr">
        <is>
          <t>BLUSA DAMA M. LARGA OXFORD CELESTE #48</t>
        </is>
      </c>
      <c r="C12" s="4" t="inlineStr">
        <is>
          <t>Blusa Dama</t>
        </is>
      </c>
      <c r="D12" s="4" t="n">
        <v>1</v>
      </c>
    </row>
    <row r="13">
      <c r="A13" s="4" t="inlineStr">
        <is>
          <t>UNI-010</t>
        </is>
      </c>
      <c r="B13" s="4" t="inlineStr">
        <is>
          <t>CAMISA CABALLERO M. LARGA OXFORD CELESTE #32</t>
        </is>
      </c>
      <c r="C13" s="4" t="inlineStr">
        <is>
          <t>Camisa Caballero Oxford</t>
        </is>
      </c>
      <c r="D13" s="4" t="n">
        <v>11</v>
      </c>
    </row>
    <row r="14">
      <c r="A14" s="4" t="inlineStr">
        <is>
          <t>UNI-011</t>
        </is>
      </c>
      <c r="B14" s="4" t="inlineStr">
        <is>
          <t>CAMISA CABALLERO M. LARGA OXFORD CELESTE #34</t>
        </is>
      </c>
      <c r="C14" s="4" t="inlineStr">
        <is>
          <t>Camisa Caballero Oxford</t>
        </is>
      </c>
      <c r="D14" s="4" t="n">
        <v>7</v>
      </c>
    </row>
    <row r="15">
      <c r="A15" s="4" t="inlineStr">
        <is>
          <t>UNI-012</t>
        </is>
      </c>
      <c r="B15" s="4" t="inlineStr">
        <is>
          <t>CAMISA CABALLERO M. LARGA OXFORD CELESTE #36</t>
        </is>
      </c>
      <c r="C15" s="4" t="inlineStr">
        <is>
          <t>Camisa Caballero Oxford</t>
        </is>
      </c>
      <c r="D15" s="4" t="n">
        <v>0</v>
      </c>
    </row>
    <row r="16">
      <c r="A16" s="4" t="inlineStr">
        <is>
          <t>UNI-013</t>
        </is>
      </c>
      <c r="B16" s="4" t="inlineStr">
        <is>
          <t>CAMISA CABALLERO M. LARGA OXFORD CELESTE #38</t>
        </is>
      </c>
      <c r="C16" s="4" t="inlineStr">
        <is>
          <t>Camisa Caballero Oxford</t>
        </is>
      </c>
      <c r="D16" s="4" t="n">
        <v>3</v>
      </c>
    </row>
    <row r="17">
      <c r="A17" s="4" t="inlineStr">
        <is>
          <t>UNI-014</t>
        </is>
      </c>
      <c r="B17" s="4" t="inlineStr">
        <is>
          <t>CAMISA CABALLERO M. LARGA OXFORD CELESTE #40</t>
        </is>
      </c>
      <c r="C17" s="4" t="inlineStr">
        <is>
          <t>Camisa Caballero Oxford</t>
        </is>
      </c>
      <c r="D17" s="4" t="n">
        <v>3</v>
      </c>
    </row>
    <row r="18">
      <c r="A18" s="4" t="inlineStr">
        <is>
          <t>UNI-015</t>
        </is>
      </c>
      <c r="B18" s="4" t="inlineStr">
        <is>
          <t>CAMISA CABALLERO M. LARGA OXFORD CELESTE #42</t>
        </is>
      </c>
      <c r="C18" s="4" t="inlineStr">
        <is>
          <t>Camisa Caballero Oxford</t>
        </is>
      </c>
      <c r="D18" s="4" t="n">
        <v>2</v>
      </c>
    </row>
    <row r="19">
      <c r="A19" s="4" t="inlineStr">
        <is>
          <t>UNI-016</t>
        </is>
      </c>
      <c r="B19" s="4" t="inlineStr">
        <is>
          <t>CAMISA CABALLERO M. LARGA OXFORD CELESTE #44</t>
        </is>
      </c>
      <c r="C19" s="4" t="inlineStr">
        <is>
          <t>Camisa Caballero Oxford</t>
        </is>
      </c>
      <c r="D19" s="4" t="n">
        <v>3</v>
      </c>
    </row>
    <row r="20">
      <c r="A20" s="4" t="inlineStr">
        <is>
          <t>UNI-017</t>
        </is>
      </c>
      <c r="B20" s="4" t="inlineStr">
        <is>
          <t>CAMISA CABALLERO M. LARGA OXFORD CELESTE #46</t>
        </is>
      </c>
      <c r="C20" s="4" t="inlineStr">
        <is>
          <t>Camisa Caballero Oxford</t>
        </is>
      </c>
      <c r="D20" s="4" t="n">
        <v>3</v>
      </c>
    </row>
    <row r="21">
      <c r="A21" s="4" t="inlineStr">
        <is>
          <t>UNI-018</t>
        </is>
      </c>
      <c r="B21" s="4" t="inlineStr">
        <is>
          <t>CAMISA CABALLERO M. LARGA OXFORD CELESTE #48</t>
        </is>
      </c>
      <c r="C21" s="4" t="inlineStr">
        <is>
          <t>Camisa Caballero Oxford</t>
        </is>
      </c>
      <c r="D21" s="4" t="n">
        <v>3</v>
      </c>
    </row>
    <row r="22">
      <c r="A22" s="4" t="inlineStr">
        <is>
          <t>UNI-019</t>
        </is>
      </c>
      <c r="B22" s="4" t="inlineStr">
        <is>
          <t>CAMISA CABALLERO M. LARGA OXFORD CELESTE #50</t>
        </is>
      </c>
      <c r="C22" s="4" t="inlineStr">
        <is>
          <t>Camisa Caballero Oxford</t>
        </is>
      </c>
      <c r="D22" s="4" t="n">
        <v>3</v>
      </c>
    </row>
    <row r="23">
      <c r="A23" s="4" t="inlineStr">
        <is>
          <t>UNI-020</t>
        </is>
      </c>
      <c r="B23" s="4" t="inlineStr">
        <is>
          <t>CAMISA CABALLERO M. LARGA OXFORD CELESTE #52</t>
        </is>
      </c>
      <c r="C23" s="4" t="inlineStr">
        <is>
          <t>Camisa Caballero Oxford</t>
        </is>
      </c>
      <c r="D23" s="4" t="n">
        <v>3</v>
      </c>
    </row>
    <row r="24">
      <c r="A24" s="4" t="inlineStr">
        <is>
          <t>UNI-021</t>
        </is>
      </c>
      <c r="B24" s="4" t="inlineStr">
        <is>
          <t>CAMISA P/CABALLERO DE MEZCLILLA # 30</t>
        </is>
      </c>
      <c r="C24" s="4" t="inlineStr">
        <is>
          <t>Camisa Caballero Mezclilla</t>
        </is>
      </c>
      <c r="D24" s="4" t="n">
        <v>2</v>
      </c>
    </row>
    <row r="25">
      <c r="A25" s="4" t="inlineStr">
        <is>
          <t>UNI-022</t>
        </is>
      </c>
      <c r="B25" s="4" t="inlineStr">
        <is>
          <t>CAMISA P/CABALLERO DE MEZCLILLA # 32</t>
        </is>
      </c>
      <c r="C25" s="4" t="inlineStr">
        <is>
          <t>Camisa Caballero Mezclilla</t>
        </is>
      </c>
      <c r="D25" s="4" t="n">
        <v>19</v>
      </c>
    </row>
    <row r="26">
      <c r="A26" s="4" t="inlineStr">
        <is>
          <t>UNI-023</t>
        </is>
      </c>
      <c r="B26" s="4" t="inlineStr">
        <is>
          <t>CAMISA P/CABALLERO DE MEZCLILLA # 34</t>
        </is>
      </c>
      <c r="C26" s="4" t="inlineStr">
        <is>
          <t>Camisa Caballero Mezclilla</t>
        </is>
      </c>
      <c r="D26" s="4" t="n">
        <v>15</v>
      </c>
    </row>
    <row r="27">
      <c r="A27" s="4" t="inlineStr">
        <is>
          <t>UNI-024</t>
        </is>
      </c>
      <c r="B27" s="4" t="inlineStr">
        <is>
          <t>CAMISA P/CABALLERO DE MEZCLILLA # 36</t>
        </is>
      </c>
      <c r="C27" s="4" t="inlineStr">
        <is>
          <t>Camisa Caballero Mezclilla</t>
        </is>
      </c>
      <c r="D27" s="4" t="n">
        <v>14</v>
      </c>
    </row>
    <row r="28">
      <c r="A28" s="4" t="inlineStr">
        <is>
          <t>UNI-025</t>
        </is>
      </c>
      <c r="B28" s="4" t="inlineStr">
        <is>
          <t>CAMISA P/CABALLERO DE MEZCLILLA # 38</t>
        </is>
      </c>
      <c r="C28" s="4" t="inlineStr">
        <is>
          <t>Camisa Caballero Mezclilla</t>
        </is>
      </c>
      <c r="D28" s="4" t="n">
        <v>12</v>
      </c>
    </row>
    <row r="29">
      <c r="A29" s="4" t="inlineStr">
        <is>
          <t>UNI-026</t>
        </is>
      </c>
      <c r="B29" s="4" t="inlineStr">
        <is>
          <t>CAMISA P/CABALLERO DE MEZCLILLA # 40</t>
        </is>
      </c>
      <c r="C29" s="4" t="inlineStr">
        <is>
          <t>Camisa Caballero Mezclilla</t>
        </is>
      </c>
      <c r="D29" s="4" t="n">
        <v>3</v>
      </c>
    </row>
    <row r="30">
      <c r="A30" s="4" t="inlineStr">
        <is>
          <t>UNI-027</t>
        </is>
      </c>
      <c r="B30" s="4" t="inlineStr">
        <is>
          <t>CAMISA P/CABALLERO DE MEZCLILLA # 42</t>
        </is>
      </c>
      <c r="C30" s="4" t="inlineStr">
        <is>
          <t>Camisa Caballero Mezclilla</t>
        </is>
      </c>
      <c r="D30" s="4" t="n">
        <v>0</v>
      </c>
    </row>
    <row r="31">
      <c r="A31" s="4" t="inlineStr">
        <is>
          <t>UNI-028</t>
        </is>
      </c>
      <c r="B31" s="4" t="inlineStr">
        <is>
          <t>CAMISA P/CABALLERO DE MEZCLILLA # 44</t>
        </is>
      </c>
      <c r="C31" s="4" t="inlineStr">
        <is>
          <t>Camisa Caballero Mezclilla</t>
        </is>
      </c>
      <c r="D31" s="4" t="n">
        <v>5</v>
      </c>
    </row>
    <row r="32">
      <c r="A32" s="4" t="inlineStr">
        <is>
          <t>UNI-029</t>
        </is>
      </c>
      <c r="B32" s="4" t="inlineStr">
        <is>
          <t>CAMISA P/CABALLERO DE MEZCLILLA # 46</t>
        </is>
      </c>
      <c r="C32" s="4" t="inlineStr">
        <is>
          <t>Camisa Caballero Mezclilla</t>
        </is>
      </c>
      <c r="D32" s="4" t="n">
        <v>5</v>
      </c>
    </row>
    <row r="33">
      <c r="A33" s="4" t="inlineStr">
        <is>
          <t>UNI-030</t>
        </is>
      </c>
      <c r="B33" s="4" t="inlineStr">
        <is>
          <t>CAMISA P/CABALLERO DE MEZCLILLA # 48</t>
        </is>
      </c>
      <c r="C33" s="4" t="inlineStr">
        <is>
          <t>Camisa Caballero Mezclilla</t>
        </is>
      </c>
      <c r="D33" s="4" t="n">
        <v>6</v>
      </c>
    </row>
    <row r="34">
      <c r="A34" s="4" t="inlineStr">
        <is>
          <t>UNI-031</t>
        </is>
      </c>
      <c r="B34" s="4" t="inlineStr">
        <is>
          <t>CAMISA P/CABALLERO DE MEZCLILLA # 50</t>
        </is>
      </c>
      <c r="C34" s="4" t="inlineStr">
        <is>
          <t>Camisa Caballero Mezclilla</t>
        </is>
      </c>
      <c r="D34" s="4" t="n">
        <v>6</v>
      </c>
    </row>
    <row r="35">
      <c r="A35" s="4" t="inlineStr">
        <is>
          <t>UNI-032</t>
        </is>
      </c>
      <c r="B35" s="4" t="inlineStr">
        <is>
          <t>CAMISA P/CABALLERO DE MEZCLILLA # 52</t>
        </is>
      </c>
      <c r="C35" s="4" t="inlineStr">
        <is>
          <t>Camisa Caballero Mezclilla</t>
        </is>
      </c>
      <c r="D35" s="4" t="n">
        <v>7</v>
      </c>
    </row>
    <row r="36">
      <c r="A36" s="4" t="inlineStr">
        <is>
          <t>UNI-033</t>
        </is>
      </c>
      <c r="B36" s="4" t="inlineStr">
        <is>
          <t>CAMISA P/DAMA DE MEZCLILLA #32</t>
        </is>
      </c>
      <c r="C36" s="4" t="inlineStr">
        <is>
          <t>Camisa Dama</t>
        </is>
      </c>
      <c r="D36" s="4" t="n">
        <v>17</v>
      </c>
    </row>
    <row r="37">
      <c r="A37" s="4" t="inlineStr">
        <is>
          <t>UNI-034</t>
        </is>
      </c>
      <c r="B37" s="4" t="inlineStr">
        <is>
          <t>CAMISA P/DAMA DE MEZCLILLA #34</t>
        </is>
      </c>
      <c r="C37" s="4" t="inlineStr">
        <is>
          <t>Camisa Dama</t>
        </is>
      </c>
      <c r="D37" s="4" t="n">
        <v>10</v>
      </c>
    </row>
    <row r="38">
      <c r="A38" s="4" t="inlineStr">
        <is>
          <t>UNI-035</t>
        </is>
      </c>
      <c r="B38" s="4" t="inlineStr">
        <is>
          <t>CAMISA P/DAMA DE MEZCLILLA #36</t>
        </is>
      </c>
      <c r="C38" s="4" t="inlineStr">
        <is>
          <t>Camisa Dama</t>
        </is>
      </c>
      <c r="D38" s="4" t="n">
        <v>6</v>
      </c>
    </row>
    <row r="39">
      <c r="A39" s="4" t="inlineStr">
        <is>
          <t>UNI-036</t>
        </is>
      </c>
      <c r="B39" s="4" t="inlineStr">
        <is>
          <t>CAMISA P/DAMA DE MEZCLILLA #38</t>
        </is>
      </c>
      <c r="C39" s="4" t="inlineStr">
        <is>
          <t>Camisa Dama</t>
        </is>
      </c>
      <c r="D39" s="4" t="n">
        <v>8</v>
      </c>
    </row>
    <row r="40">
      <c r="A40" s="4" t="inlineStr">
        <is>
          <t>UNI-037</t>
        </is>
      </c>
      <c r="B40" s="4" t="inlineStr">
        <is>
          <t>CAMISA P/DAMA DE MEZCLILLA #40</t>
        </is>
      </c>
      <c r="C40" s="4" t="inlineStr">
        <is>
          <t>Camisa Dama</t>
        </is>
      </c>
      <c r="D40" s="4" t="n">
        <v>8</v>
      </c>
    </row>
    <row r="41">
      <c r="A41" s="4" t="inlineStr">
        <is>
          <t>UNI-038</t>
        </is>
      </c>
      <c r="B41" s="4" t="inlineStr">
        <is>
          <t>CAMISA P/DAMA DE MEZCLILLA #42</t>
        </is>
      </c>
      <c r="C41" s="4" t="inlineStr">
        <is>
          <t>Camisa Dama</t>
        </is>
      </c>
      <c r="D41" s="4" t="n">
        <v>8</v>
      </c>
    </row>
    <row r="42">
      <c r="A42" s="4" t="inlineStr">
        <is>
          <t>UNI-039</t>
        </is>
      </c>
      <c r="B42" s="4" t="inlineStr">
        <is>
          <t>CAMISA P/DAMA DE MEZCLILLA #44</t>
        </is>
      </c>
      <c r="C42" s="4" t="inlineStr">
        <is>
          <t>Camisa Dama</t>
        </is>
      </c>
      <c r="D42" s="4" t="n">
        <v>7</v>
      </c>
    </row>
    <row r="43">
      <c r="A43" s="4" t="inlineStr">
        <is>
          <t>UNI-040</t>
        </is>
      </c>
      <c r="B43" s="4" t="inlineStr">
        <is>
          <t>CAMISA P/DAMA DE MEZCLILLA #46</t>
        </is>
      </c>
      <c r="C43" s="4" t="inlineStr">
        <is>
          <t>Camisa Dama</t>
        </is>
      </c>
      <c r="D43" s="4" t="n">
        <v>6</v>
      </c>
    </row>
    <row r="44">
      <c r="A44" s="4" t="inlineStr">
        <is>
          <t>UNI-041</t>
        </is>
      </c>
      <c r="B44" s="4" t="inlineStr">
        <is>
          <t>CAMISA P/DAMA DE MEZCLILLA #48</t>
        </is>
      </c>
      <c r="C44" s="4" t="inlineStr">
        <is>
          <t>Camisa Dama</t>
        </is>
      </c>
      <c r="D44" s="4" t="n">
        <v>5</v>
      </c>
    </row>
    <row r="45">
      <c r="A45" s="4" t="inlineStr">
        <is>
          <t>UNI-042</t>
        </is>
      </c>
      <c r="B45" s="4" t="inlineStr">
        <is>
          <t>PANTALÓN P/ DAMA MEZCLILLA #28</t>
        </is>
      </c>
      <c r="C45" s="4" t="inlineStr">
        <is>
          <t>Pantalón Dama</t>
        </is>
      </c>
      <c r="D45" s="4" t="n">
        <v>13</v>
      </c>
    </row>
    <row r="46">
      <c r="A46" s="4" t="inlineStr">
        <is>
          <t>UNI-043</t>
        </is>
      </c>
      <c r="B46" s="4" t="inlineStr">
        <is>
          <t>PANTALÓN P/ DAMA MEZCLILLA #30</t>
        </is>
      </c>
      <c r="C46" s="4" t="inlineStr">
        <is>
          <t>Pantalón Dama</t>
        </is>
      </c>
      <c r="D46" s="4" t="n">
        <v>9</v>
      </c>
    </row>
    <row r="47">
      <c r="A47" s="4" t="inlineStr">
        <is>
          <t>UNI-044</t>
        </is>
      </c>
      <c r="B47" s="4" t="inlineStr">
        <is>
          <t>PANTALÓN P/ DAMA MEZCLILLA #32</t>
        </is>
      </c>
      <c r="C47" s="4" t="inlineStr">
        <is>
          <t>Pantalón Dama</t>
        </is>
      </c>
      <c r="D47" s="4" t="n">
        <v>9</v>
      </c>
    </row>
    <row r="48">
      <c r="A48" s="4" t="inlineStr">
        <is>
          <t>UNI-045</t>
        </is>
      </c>
      <c r="B48" s="4" t="inlineStr">
        <is>
          <t>PANTALÓN P/ DAMA MEZCLILLA #34</t>
        </is>
      </c>
      <c r="C48" s="4" t="inlineStr">
        <is>
          <t>Pantalón Dama</t>
        </is>
      </c>
      <c r="D48" s="4" t="n">
        <v>5</v>
      </c>
    </row>
    <row r="49">
      <c r="A49" s="4" t="inlineStr">
        <is>
          <t>UNI-046</t>
        </is>
      </c>
      <c r="B49" s="4" t="inlineStr">
        <is>
          <t>PANTALÓN P/ DAMA MEZCLILLA #36</t>
        </is>
      </c>
      <c r="C49" s="4" t="inlineStr">
        <is>
          <t>Pantalón Dama</t>
        </is>
      </c>
      <c r="D49" s="4" t="n">
        <v>6</v>
      </c>
    </row>
    <row r="50">
      <c r="A50" s="4" t="inlineStr">
        <is>
          <t>UNI-047</t>
        </is>
      </c>
      <c r="B50" s="4" t="inlineStr">
        <is>
          <t>PANTALÓN P/ DAMA MEZCLILLA #38</t>
        </is>
      </c>
      <c r="C50" s="4" t="inlineStr">
        <is>
          <t>Pantalón Dama</t>
        </is>
      </c>
      <c r="D50" s="4" t="n">
        <v>9</v>
      </c>
    </row>
    <row r="51">
      <c r="A51" s="4" t="inlineStr">
        <is>
          <t>UNI-048</t>
        </is>
      </c>
      <c r="B51" s="4" t="inlineStr">
        <is>
          <t>PANTALÓN P/ DAMA MEZCLILLA #40</t>
        </is>
      </c>
      <c r="C51" s="4" t="inlineStr">
        <is>
          <t>Pantalón Dama</t>
        </is>
      </c>
      <c r="D51" s="4" t="n">
        <v>5</v>
      </c>
    </row>
    <row r="52">
      <c r="A52" s="4" t="inlineStr">
        <is>
          <t>UNI-049</t>
        </is>
      </c>
      <c r="B52" s="4" t="inlineStr">
        <is>
          <t>PANTALÓN P/ DAMA MEZCLILLA #42</t>
        </is>
      </c>
      <c r="C52" s="4" t="inlineStr">
        <is>
          <t>Pantalón Dama</t>
        </is>
      </c>
      <c r="D52" s="4" t="n">
        <v>7</v>
      </c>
    </row>
    <row r="53">
      <c r="A53" s="4" t="inlineStr">
        <is>
          <t>UNI-050</t>
        </is>
      </c>
      <c r="B53" s="4" t="inlineStr">
        <is>
          <t>PANTALÓN P/ DAMA MEZCLILLA #44</t>
        </is>
      </c>
      <c r="C53" s="4" t="inlineStr">
        <is>
          <t>Pantalón Dama</t>
        </is>
      </c>
      <c r="D53" s="4" t="n">
        <v>5</v>
      </c>
    </row>
    <row r="54">
      <c r="A54" s="4" t="inlineStr">
        <is>
          <t>UNI-051</t>
        </is>
      </c>
      <c r="B54" s="4" t="inlineStr">
        <is>
          <t>PANTALÓN P/ DAMA MEZCLILLA #46</t>
        </is>
      </c>
      <c r="C54" s="4" t="inlineStr">
        <is>
          <t>Pantalón Dama</t>
        </is>
      </c>
      <c r="D54" s="4" t="n">
        <v>5</v>
      </c>
    </row>
    <row r="55">
      <c r="A55" s="4" t="inlineStr">
        <is>
          <t>UNI-052</t>
        </is>
      </c>
      <c r="B55" s="4" t="inlineStr">
        <is>
          <t>PANTALÓN P/ DAMA MEZCLILLA #48</t>
        </is>
      </c>
      <c r="C55" s="4" t="inlineStr">
        <is>
          <t>Pantalón Dama</t>
        </is>
      </c>
      <c r="D55" s="4" t="n">
        <v>5</v>
      </c>
    </row>
    <row r="56">
      <c r="A56" s="4" t="inlineStr">
        <is>
          <t>UNI-053</t>
        </is>
      </c>
      <c r="B56" s="4" t="inlineStr">
        <is>
          <t>PANTALON P/CABALLERO COLOR CAQUI #28</t>
        </is>
      </c>
      <c r="C56" s="4" t="inlineStr">
        <is>
          <t>Pantalón Caballero Caqui</t>
        </is>
      </c>
      <c r="D56" s="4" t="n">
        <v>2</v>
      </c>
    </row>
    <row r="57">
      <c r="A57" s="4" t="inlineStr">
        <is>
          <t>UNI-054</t>
        </is>
      </c>
      <c r="B57" s="4" t="inlineStr">
        <is>
          <t>PANTALON P/CABALLERO COLOR CAQUI #30</t>
        </is>
      </c>
      <c r="C57" s="4" t="inlineStr">
        <is>
          <t>Pantalón Caballero Caqui</t>
        </is>
      </c>
      <c r="D57" s="4" t="n">
        <v>1</v>
      </c>
    </row>
    <row r="58">
      <c r="A58" s="4" t="inlineStr">
        <is>
          <t>UNI-055</t>
        </is>
      </c>
      <c r="B58" s="4" t="inlineStr">
        <is>
          <t>PANTALON P/CABALLERO COLOR CAQUI #32</t>
        </is>
      </c>
      <c r="C58" s="4" t="inlineStr">
        <is>
          <t>Pantalón Caballero Caqui</t>
        </is>
      </c>
      <c r="D58" s="4" t="n">
        <v>11</v>
      </c>
    </row>
    <row r="59">
      <c r="A59" s="4" t="inlineStr">
        <is>
          <t>UNI-056</t>
        </is>
      </c>
      <c r="B59" s="4" t="inlineStr">
        <is>
          <t>PANTALON P/CABALLERO COLOR CAQUI #34</t>
        </is>
      </c>
      <c r="C59" s="4" t="inlineStr">
        <is>
          <t>Pantalón Caballero Caqui</t>
        </is>
      </c>
      <c r="D59" s="4" t="n">
        <v>5</v>
      </c>
    </row>
    <row r="60">
      <c r="A60" s="4" t="inlineStr">
        <is>
          <t>UNI-057</t>
        </is>
      </c>
      <c r="B60" s="4" t="inlineStr">
        <is>
          <t>PANTALON P/CABALLERO COLOR CAQUI #36</t>
        </is>
      </c>
      <c r="C60" s="4" t="inlineStr">
        <is>
          <t>Pantalón Caballero Caqui</t>
        </is>
      </c>
      <c r="D60" s="4" t="n">
        <v>10</v>
      </c>
    </row>
    <row r="61">
      <c r="A61" s="4" t="inlineStr">
        <is>
          <t>UNI-058</t>
        </is>
      </c>
      <c r="B61" s="4" t="inlineStr">
        <is>
          <t>PANTALON P/CABALLERO COLOR CAQUI #38</t>
        </is>
      </c>
      <c r="C61" s="4" t="inlineStr">
        <is>
          <t>Pantalón Caballero Caqui</t>
        </is>
      </c>
      <c r="D61" s="4" t="n">
        <v>5</v>
      </c>
    </row>
    <row r="62">
      <c r="A62" s="4" t="inlineStr">
        <is>
          <t>UNI-059</t>
        </is>
      </c>
      <c r="B62" s="4" t="inlineStr">
        <is>
          <t>PANTALON P/CABALLERO COLOR CAQUI #40</t>
        </is>
      </c>
      <c r="C62" s="4" t="inlineStr">
        <is>
          <t>Pantalón Caballero Caqui</t>
        </is>
      </c>
      <c r="D62" s="4" t="n">
        <v>4</v>
      </c>
    </row>
    <row r="63">
      <c r="A63" s="4" t="inlineStr">
        <is>
          <t>UNI-060</t>
        </is>
      </c>
      <c r="B63" s="4" t="inlineStr">
        <is>
          <t>PANTALON P/CABALLERO COLOR CAQUI #42</t>
        </is>
      </c>
      <c r="C63" s="4" t="inlineStr">
        <is>
          <t>Pantalón Caballero Caqui</t>
        </is>
      </c>
      <c r="D63" s="4" t="n">
        <v>4</v>
      </c>
    </row>
    <row r="64">
      <c r="A64" s="4" t="inlineStr">
        <is>
          <t>UNI-061</t>
        </is>
      </c>
      <c r="B64" s="4" t="inlineStr">
        <is>
          <t>PANTALON P/CABALLERO COLOR CAQUI #44</t>
        </is>
      </c>
      <c r="C64" s="4" t="inlineStr">
        <is>
          <t>Pantalón Caballero Caqui</t>
        </is>
      </c>
      <c r="D64" s="4" t="n">
        <v>2</v>
      </c>
    </row>
    <row r="65">
      <c r="A65" s="4" t="inlineStr">
        <is>
          <t>UNI-062</t>
        </is>
      </c>
      <c r="B65" s="4" t="inlineStr">
        <is>
          <t>PANTALON P/CABALLERO COLOR CAQUI #46</t>
        </is>
      </c>
      <c r="C65" s="4" t="inlineStr">
        <is>
          <t>Pantalón Caballero Caqui</t>
        </is>
      </c>
      <c r="D65" s="4" t="n">
        <v>8</v>
      </c>
    </row>
    <row r="66">
      <c r="A66" s="4" t="inlineStr">
        <is>
          <t>UNI-063</t>
        </is>
      </c>
      <c r="B66" s="4" t="inlineStr">
        <is>
          <t>PANTALON P/CABALLERO COLOR CAQUI #48</t>
        </is>
      </c>
      <c r="C66" s="4" t="inlineStr">
        <is>
          <t>Pantalón Caballero Caqui</t>
        </is>
      </c>
      <c r="D66" s="4" t="n">
        <v>2</v>
      </c>
    </row>
    <row r="67">
      <c r="A67" s="4" t="inlineStr">
        <is>
          <t>UNI-064</t>
        </is>
      </c>
      <c r="B67" s="4" t="inlineStr">
        <is>
          <t>PANTALON P/CABALLERO MEZCLILLA # 28</t>
        </is>
      </c>
      <c r="C67" s="4" t="inlineStr">
        <is>
          <t>Pantalón Caballero Mezclilla</t>
        </is>
      </c>
      <c r="D67" s="4" t="n">
        <v>13</v>
      </c>
    </row>
    <row r="68">
      <c r="A68" s="4" t="inlineStr">
        <is>
          <t>UNI-065</t>
        </is>
      </c>
      <c r="B68" s="4" t="inlineStr">
        <is>
          <t>PANTALON P/CABALLERO MEZCLILLA # 30</t>
        </is>
      </c>
      <c r="C68" s="4" t="inlineStr">
        <is>
          <t>Pantalón Caballero Mezclilla</t>
        </is>
      </c>
      <c r="D68" s="4" t="n">
        <v>14</v>
      </c>
    </row>
    <row r="69">
      <c r="A69" s="4" t="inlineStr">
        <is>
          <t>UNI-066</t>
        </is>
      </c>
      <c r="B69" s="4" t="inlineStr">
        <is>
          <t>PANTALON P/CABALLERO MEZCLILLA # 32</t>
        </is>
      </c>
      <c r="C69" s="4" t="inlineStr">
        <is>
          <t>Pantalón Caballero Mezclilla</t>
        </is>
      </c>
      <c r="D69" s="4" t="n">
        <v>16</v>
      </c>
    </row>
    <row r="70">
      <c r="A70" s="4" t="inlineStr">
        <is>
          <t>UNI-067</t>
        </is>
      </c>
      <c r="B70" s="4" t="inlineStr">
        <is>
          <t>PANTALON P/CABALLERO MEZCLILLA # 34</t>
        </is>
      </c>
      <c r="C70" s="4" t="inlineStr">
        <is>
          <t>Pantalón Caballero Mezclilla</t>
        </is>
      </c>
      <c r="D70" s="4" t="n">
        <v>3</v>
      </c>
    </row>
    <row r="71">
      <c r="A71" s="4" t="inlineStr">
        <is>
          <t>UNI-068</t>
        </is>
      </c>
      <c r="B71" s="4" t="inlineStr">
        <is>
          <t>PANTALON P/CABALLERO MEZCLILLA # 36</t>
        </is>
      </c>
      <c r="C71" s="4" t="inlineStr">
        <is>
          <t>Pantalón Caballero Mezclilla</t>
        </is>
      </c>
      <c r="D71" s="4" t="n">
        <v>3</v>
      </c>
    </row>
    <row r="72">
      <c r="A72" s="4" t="inlineStr">
        <is>
          <t>UNI-069</t>
        </is>
      </c>
      <c r="B72" s="4" t="inlineStr">
        <is>
          <t>PANTALON P/CABALLERO MEZCLILLA # 38</t>
        </is>
      </c>
      <c r="C72" s="4" t="inlineStr">
        <is>
          <t>Pantalón Caballero Mezclilla</t>
        </is>
      </c>
      <c r="D72" s="4" t="n">
        <v>17</v>
      </c>
    </row>
    <row r="73">
      <c r="A73" s="4" t="inlineStr">
        <is>
          <t>UNI-070</t>
        </is>
      </c>
      <c r="B73" s="4" t="inlineStr">
        <is>
          <t>PANTALON P/CABALLERO MEZCLILLA # 40</t>
        </is>
      </c>
      <c r="C73" s="4" t="inlineStr">
        <is>
          <t>Pantalón Caballero Mezclilla</t>
        </is>
      </c>
      <c r="D73" s="4" t="n">
        <v>12</v>
      </c>
    </row>
    <row r="74">
      <c r="A74" s="4" t="inlineStr">
        <is>
          <t>UNI-071</t>
        </is>
      </c>
      <c r="B74" s="4" t="inlineStr">
        <is>
          <t>PANTALON P/CABALLERO MEZCLILLA # 42</t>
        </is>
      </c>
      <c r="C74" s="4" t="inlineStr">
        <is>
          <t>Pantalón Caballero Mezclilla</t>
        </is>
      </c>
      <c r="D74" s="4" t="n">
        <v>9</v>
      </c>
    </row>
    <row r="75">
      <c r="A75" s="4" t="inlineStr">
        <is>
          <t>UNI-072</t>
        </is>
      </c>
      <c r="B75" s="4" t="inlineStr">
        <is>
          <t>PANTALON P/CABALLERO MEZCLILLA # 44</t>
        </is>
      </c>
      <c r="C75" s="4" t="inlineStr">
        <is>
          <t>Pantalón Caballero Mezclilla</t>
        </is>
      </c>
      <c r="D75" s="4" t="n">
        <v>8</v>
      </c>
    </row>
    <row r="76">
      <c r="A76" s="4" t="inlineStr">
        <is>
          <t>UNI-073</t>
        </is>
      </c>
      <c r="B76" s="4" t="inlineStr">
        <is>
          <t>PANTALON P/CABALLERO MEZCLILLA # 46</t>
        </is>
      </c>
      <c r="C76" s="4" t="inlineStr">
        <is>
          <t>Pantalón Caballero Mezclilla</t>
        </is>
      </c>
      <c r="D76" s="4" t="n">
        <v>4</v>
      </c>
    </row>
    <row r="77">
      <c r="A77" s="4" t="inlineStr">
        <is>
          <t>UNI-074</t>
        </is>
      </c>
      <c r="B77" s="4" t="inlineStr">
        <is>
          <t>PANTALON P/CABALLERO MEZCLILLA # 48</t>
        </is>
      </c>
      <c r="C77" s="4" t="inlineStr">
        <is>
          <t>Pantalón Caballero Mezclilla</t>
        </is>
      </c>
      <c r="D77" s="4" t="n">
        <v>4</v>
      </c>
    </row>
    <row r="78">
      <c r="A78" s="4" t="inlineStr">
        <is>
          <t>UNI-075</t>
        </is>
      </c>
      <c r="B78" s="4" t="inlineStr">
        <is>
          <t>PLAYERA TIPO POLO P/CABALLERO AZUL REY CH</t>
        </is>
      </c>
      <c r="C78" s="4" t="inlineStr">
        <is>
          <t>Playera Polo Caballero</t>
        </is>
      </c>
      <c r="D78" s="4" t="n">
        <v>11</v>
      </c>
    </row>
    <row r="79">
      <c r="A79" s="4" t="inlineStr">
        <is>
          <t>UNI-076</t>
        </is>
      </c>
      <c r="B79" s="4" t="inlineStr">
        <is>
          <t>PLAYERA TIPO POLO P/CABALLERO AZUL REY M</t>
        </is>
      </c>
      <c r="C79" s="4" t="inlineStr">
        <is>
          <t>Playera Polo Caballero</t>
        </is>
      </c>
      <c r="D79" s="4" t="n">
        <v>12</v>
      </c>
    </row>
    <row r="80">
      <c r="A80" s="4" t="inlineStr">
        <is>
          <t>UNI-077</t>
        </is>
      </c>
      <c r="B80" s="4" t="inlineStr">
        <is>
          <t>PLAYERA TIPO POLO P/CABALLERO AZUL REY G</t>
        </is>
      </c>
      <c r="C80" s="4" t="inlineStr">
        <is>
          <t>Playera Polo Caballero</t>
        </is>
      </c>
      <c r="D80" s="4" t="n">
        <v>5</v>
      </c>
    </row>
    <row r="81">
      <c r="A81" s="4" t="inlineStr">
        <is>
          <t>UNI-078</t>
        </is>
      </c>
      <c r="B81" s="4" t="inlineStr">
        <is>
          <t>PLAYERA TIPO POLO P/CABALLERO AZUL REY XL</t>
        </is>
      </c>
      <c r="C81" s="4" t="inlineStr">
        <is>
          <t>Playera Polo Caballero</t>
        </is>
      </c>
      <c r="D81" s="4" t="n">
        <v>2</v>
      </c>
    </row>
    <row r="82">
      <c r="A82" s="4" t="inlineStr">
        <is>
          <t>UNI-079</t>
        </is>
      </c>
      <c r="B82" s="4" t="inlineStr">
        <is>
          <t>PLAYERA TIPO POLO P/CABALLERO AZUL MARINO CH</t>
        </is>
      </c>
      <c r="C82" s="4" t="inlineStr">
        <is>
          <t>Playera Polo Caballero</t>
        </is>
      </c>
      <c r="D82" s="4" t="n">
        <v>11</v>
      </c>
    </row>
    <row r="83">
      <c r="A83" s="4" t="inlineStr">
        <is>
          <t>UNI-080</t>
        </is>
      </c>
      <c r="B83" s="4" t="inlineStr">
        <is>
          <t>PLAYERA TIPO POLO P/CABALLERO AZUL MARINO M</t>
        </is>
      </c>
      <c r="C83" s="4" t="inlineStr">
        <is>
          <t>Playera Polo Caballero</t>
        </is>
      </c>
      <c r="D83" s="4" t="n">
        <v>12</v>
      </c>
    </row>
    <row r="84">
      <c r="A84" s="4" t="inlineStr">
        <is>
          <t>UNI-081</t>
        </is>
      </c>
      <c r="B84" s="4" t="inlineStr">
        <is>
          <t>PLAYERA TIPO POLO P/CABALLERO AZUL MARINO G</t>
        </is>
      </c>
      <c r="C84" s="4" t="inlineStr">
        <is>
          <t>Playera Polo Caballero</t>
        </is>
      </c>
      <c r="D84" s="4" t="n">
        <v>5</v>
      </c>
    </row>
    <row r="85">
      <c r="A85" s="4" t="inlineStr">
        <is>
          <t>UNI-082</t>
        </is>
      </c>
      <c r="B85" s="4" t="inlineStr">
        <is>
          <t>PLAYERA TIPO POLO P/CABALLERO AZUL MARINO XL</t>
        </is>
      </c>
      <c r="C85" s="4" t="inlineStr">
        <is>
          <t>Playera Polo Caballero</t>
        </is>
      </c>
      <c r="D85" s="4" t="n">
        <v>2</v>
      </c>
    </row>
    <row r="86">
      <c r="A86" s="4" t="inlineStr">
        <is>
          <t>UNI-083</t>
        </is>
      </c>
      <c r="B86" s="4" t="inlineStr">
        <is>
          <t>ZAPATO DE SEGURIDAD # 22</t>
        </is>
      </c>
      <c r="C86" s="4" t="inlineStr">
        <is>
          <t>Zapato Seguridad</t>
        </is>
      </c>
      <c r="D86" s="4" t="n">
        <v>13</v>
      </c>
    </row>
    <row r="87">
      <c r="A87" s="4" t="inlineStr">
        <is>
          <t>UNI-084</t>
        </is>
      </c>
      <c r="B87" s="4" t="inlineStr">
        <is>
          <t>ZAPATO DE SEGURIDAD # 23</t>
        </is>
      </c>
      <c r="C87" s="4" t="inlineStr">
        <is>
          <t>Zapato Seguridad</t>
        </is>
      </c>
      <c r="D87" s="4" t="n">
        <v>0</v>
      </c>
    </row>
    <row r="88">
      <c r="A88" s="4" t="inlineStr">
        <is>
          <t>UNI-085</t>
        </is>
      </c>
      <c r="B88" s="4" t="inlineStr">
        <is>
          <t>ZAPATO DE SEGURIDAD # 24</t>
        </is>
      </c>
      <c r="C88" s="4" t="inlineStr">
        <is>
          <t>Zapato Seguridad</t>
        </is>
      </c>
      <c r="D88" s="4" t="n">
        <v>8</v>
      </c>
    </row>
    <row r="89">
      <c r="A89" s="4" t="inlineStr">
        <is>
          <t>UNI-086</t>
        </is>
      </c>
      <c r="B89" s="4" t="inlineStr">
        <is>
          <t>ZAPATO DE SEGURIDAD # 25</t>
        </is>
      </c>
      <c r="C89" s="4" t="inlineStr">
        <is>
          <t>Zapato Seguridad</t>
        </is>
      </c>
      <c r="D89" s="4" t="n">
        <v>7</v>
      </c>
    </row>
    <row r="90">
      <c r="A90" s="4" t="inlineStr">
        <is>
          <t>UNI-087</t>
        </is>
      </c>
      <c r="B90" s="4" t="inlineStr">
        <is>
          <t>ZAPATO DE SEGURIDAD # 26</t>
        </is>
      </c>
      <c r="C90" s="4" t="inlineStr">
        <is>
          <t>Zapato Seguridad</t>
        </is>
      </c>
      <c r="D90" s="4" t="n">
        <v>27</v>
      </c>
    </row>
    <row r="91">
      <c r="A91" s="4" t="inlineStr">
        <is>
          <t>UNI-088</t>
        </is>
      </c>
      <c r="B91" s="4" t="inlineStr">
        <is>
          <t>ZAPATO DE SEGURIDAD # 27</t>
        </is>
      </c>
      <c r="C91" s="4" t="inlineStr">
        <is>
          <t>Zapato Seguridad</t>
        </is>
      </c>
      <c r="D91" s="4" t="n">
        <v>24</v>
      </c>
    </row>
    <row r="92">
      <c r="A92" s="4" t="inlineStr">
        <is>
          <t>UNI-089</t>
        </is>
      </c>
      <c r="B92" s="4" t="inlineStr">
        <is>
          <t>ZAPATO DE SEGURIDAD # 28</t>
        </is>
      </c>
      <c r="C92" s="4" t="inlineStr">
        <is>
          <t>Zapato Seguridad</t>
        </is>
      </c>
      <c r="D92" s="4" t="n">
        <v>19</v>
      </c>
    </row>
    <row r="93">
      <c r="A93" s="4" t="inlineStr">
        <is>
          <t>UNI-090</t>
        </is>
      </c>
      <c r="B93" s="4" t="inlineStr">
        <is>
          <t>ZAPATO DE SEGURIDAD # 29</t>
        </is>
      </c>
      <c r="C93" s="4" t="inlineStr">
        <is>
          <t>Zapato Seguridad</t>
        </is>
      </c>
      <c r="D93" s="4" t="n">
        <v>21</v>
      </c>
    </row>
    <row r="94">
      <c r="A94" s="4" t="inlineStr">
        <is>
          <t>UNI-091</t>
        </is>
      </c>
      <c r="B94" s="4" t="inlineStr">
        <is>
          <t>ZAPATO DE SEGURIDAD # 30</t>
        </is>
      </c>
      <c r="C94" s="4" t="inlineStr">
        <is>
          <t>Zapato Seguridad</t>
        </is>
      </c>
      <c r="D94" s="4" t="n">
        <v>6</v>
      </c>
    </row>
    <row r="95">
      <c r="A95" s="4" t="inlineStr">
        <is>
          <t>UNI-092</t>
        </is>
      </c>
      <c r="B95" s="4" t="inlineStr">
        <is>
          <t>ZAPATO DE SEGURIDAD # 31</t>
        </is>
      </c>
      <c r="C95" s="4" t="inlineStr">
        <is>
          <t>Zapato Seguridad</t>
        </is>
      </c>
      <c r="D95" s="4" t="n">
        <v>4</v>
      </c>
    </row>
    <row r="96">
      <c r="A96" s="4" t="inlineStr">
        <is>
          <t>UNI-093</t>
        </is>
      </c>
      <c r="B96" s="4" t="inlineStr">
        <is>
          <t>ZAPATO DE SEGURIDAD # 32</t>
        </is>
      </c>
      <c r="C96" s="4" t="inlineStr">
        <is>
          <t>Zapato Seguridad</t>
        </is>
      </c>
      <c r="D96" s="4" t="n">
        <v>2</v>
      </c>
    </row>
  </sheetData>
  <autoFilter ref="A3:D9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2026-08-24T20:59:50Z</dcterms:created>
  <dcterms:modified xmlns:dcterms="http://purl.org/dc/terms/" xmlns:xsi="http://www.w3.org/2001/XMLSchema-instance" xsi:type="dcterms:W3CDTF">2026-08-24T20:59:51Z</dcterms:modified>
</cp:coreProperties>
</file>